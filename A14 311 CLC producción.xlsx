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b6926b2e2f81b4/Documentos/Proyectos/25.2/25.2 - Custom Extensiones/Payroll/"/>
    </mc:Choice>
  </mc:AlternateContent>
  <xr:revisionPtr revIDLastSave="383" documentId="13_ncr:1_{EE092345-9921-432B-9AA1-E6BA4CEBEE99}" xr6:coauthVersionLast="47" xr6:coauthVersionMax="47" xr10:uidLastSave="{B3EF8E58-865F-42C2-B7E7-9CD5FC24ECE5}"/>
  <bookViews>
    <workbookView xWindow="-120" yWindow="-120" windowWidth="29040" windowHeight="15720" tabRatio="599" xr2:uid="{384BEB01-60EC-4FC9-B665-3C784E2A368C}"/>
  </bookViews>
  <sheets>
    <sheet name="Hoja1" sheetId="15" r:id="rId1"/>
    <sheet name="Hoja5" sheetId="19" r:id="rId2"/>
    <sheet name="Hoja2" sheetId="16" r:id="rId3"/>
    <sheet name="Hoja3" sheetId="17" r:id="rId4"/>
    <sheet name="Hoja4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5" l="1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E33" i="15"/>
  <c r="P26" i="15"/>
  <c r="B25" i="15"/>
  <c r="G22" i="15"/>
  <c r="F35" i="19"/>
  <c r="E20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E19" i="19"/>
  <c r="F18" i="19"/>
  <c r="D34" i="19"/>
  <c r="E34" i="19"/>
  <c r="E35" i="19" s="1"/>
  <c r="E32" i="19"/>
  <c r="E31" i="19"/>
  <c r="E30" i="19"/>
  <c r="E29" i="19"/>
  <c r="E28" i="19"/>
  <c r="E27" i="19"/>
  <c r="E26" i="19"/>
  <c r="E25" i="19"/>
  <c r="E24" i="19"/>
  <c r="E22" i="19"/>
  <c r="E21" i="19"/>
  <c r="E18" i="19"/>
  <c r="M22" i="15"/>
  <c r="K31" i="15" l="1"/>
  <c r="I14" i="17" l="1"/>
  <c r="I12" i="17"/>
  <c r="J12" i="17" s="1"/>
  <c r="J22" i="17"/>
  <c r="J21" i="17"/>
  <c r="J20" i="17"/>
  <c r="J19" i="17"/>
  <c r="J18" i="17"/>
  <c r="J17" i="17"/>
  <c r="J16" i="17"/>
  <c r="J15" i="17"/>
  <c r="J14" i="17"/>
  <c r="J13" i="17"/>
  <c r="J11" i="17"/>
  <c r="J10" i="17"/>
  <c r="J9" i="17"/>
  <c r="J8" i="17"/>
  <c r="J7" i="17"/>
  <c r="J6" i="17"/>
  <c r="J5" i="17"/>
  <c r="J4" i="17"/>
  <c r="J3" i="17"/>
  <c r="I11" i="17"/>
  <c r="I10" i="17"/>
  <c r="I9" i="17"/>
  <c r="I8" i="17"/>
  <c r="I7" i="17"/>
  <c r="I6" i="17"/>
  <c r="I5" i="17"/>
  <c r="I4" i="17"/>
  <c r="I3" i="17"/>
  <c r="J2" i="17"/>
  <c r="I2" i="17"/>
  <c r="E27" i="18"/>
  <c r="E26" i="18"/>
  <c r="D26" i="18"/>
  <c r="C26" i="18"/>
  <c r="J24" i="15"/>
  <c r="K24" i="15" l="1"/>
  <c r="F31" i="15" l="1"/>
  <c r="H26" i="15"/>
  <c r="F26" i="15"/>
  <c r="C6" i="15"/>
  <c r="O65" i="15"/>
  <c r="N65" i="15"/>
  <c r="M65" i="15"/>
  <c r="L65" i="15"/>
  <c r="K65" i="15"/>
  <c r="J65" i="15"/>
  <c r="I65" i="15"/>
  <c r="H65" i="15"/>
  <c r="G65" i="15"/>
  <c r="F65" i="15"/>
  <c r="K66" i="15"/>
  <c r="L66" i="15"/>
  <c r="M66" i="15"/>
  <c r="N66" i="15"/>
  <c r="O66" i="15"/>
  <c r="J66" i="15"/>
  <c r="O64" i="15"/>
  <c r="N64" i="15"/>
  <c r="M64" i="15"/>
  <c r="L64" i="15"/>
  <c r="K64" i="15"/>
  <c r="J64" i="15"/>
  <c r="I64" i="15"/>
  <c r="H64" i="15"/>
  <c r="G64" i="15"/>
  <c r="F64" i="15"/>
  <c r="O31" i="15" l="1"/>
  <c r="N31" i="15"/>
  <c r="M31" i="15"/>
  <c r="L31" i="15"/>
  <c r="J31" i="15"/>
  <c r="I31" i="15"/>
  <c r="H31" i="15"/>
  <c r="G31" i="15"/>
  <c r="I26" i="15" l="1"/>
  <c r="G26" i="15"/>
  <c r="M30" i="15"/>
  <c r="M29" i="15"/>
  <c r="L30" i="15"/>
  <c r="L29" i="15"/>
  <c r="L32" i="15" s="1"/>
  <c r="J30" i="15"/>
  <c r="J29" i="15"/>
  <c r="O30" i="15"/>
  <c r="O29" i="15"/>
  <c r="N30" i="15"/>
  <c r="N29" i="15"/>
  <c r="I29" i="15"/>
  <c r="H29" i="15"/>
  <c r="G29" i="15"/>
  <c r="K30" i="15"/>
  <c r="K29" i="15"/>
  <c r="F29" i="15"/>
  <c r="F32" i="15" s="1"/>
  <c r="K32" i="15" l="1"/>
  <c r="H32" i="15"/>
  <c r="M32" i="15"/>
  <c r="J32" i="15"/>
  <c r="O32" i="15"/>
  <c r="N32" i="15"/>
  <c r="I32" i="15"/>
  <c r="G32" i="15"/>
  <c r="Q19" i="15" l="1"/>
  <c r="P19" i="15"/>
  <c r="I30" i="15"/>
  <c r="I42" i="15" s="1"/>
  <c r="H30" i="15"/>
  <c r="H42" i="15" s="1"/>
  <c r="G30" i="15"/>
  <c r="G42" i="15" s="1"/>
  <c r="F30" i="15"/>
  <c r="F42" i="15" s="1"/>
  <c r="T19" i="15" l="1"/>
  <c r="S19" i="15"/>
  <c r="R19" i="15"/>
  <c r="I15" i="15"/>
  <c r="R37" i="15" l="1"/>
  <c r="R15" i="15"/>
  <c r="Q15" i="15"/>
  <c r="P15" i="15"/>
  <c r="S15" i="15"/>
  <c r="T15" i="15"/>
  <c r="R38" i="15" l="1"/>
  <c r="S35" i="15"/>
  <c r="K36" i="15"/>
  <c r="O36" i="15"/>
  <c r="N36" i="15"/>
  <c r="J36" i="15"/>
  <c r="L36" i="15"/>
  <c r="M36" i="15"/>
  <c r="O18" i="15"/>
  <c r="N18" i="15"/>
  <c r="M18" i="15"/>
  <c r="L18" i="15"/>
  <c r="K18" i="15"/>
  <c r="O17" i="15"/>
  <c r="N17" i="15"/>
  <c r="M17" i="15"/>
  <c r="L17" i="15"/>
  <c r="K17" i="15"/>
  <c r="O16" i="15"/>
  <c r="N16" i="15"/>
  <c r="M16" i="15"/>
  <c r="L16" i="15"/>
  <c r="K16" i="15"/>
  <c r="O15" i="15"/>
  <c r="N15" i="15"/>
  <c r="M15" i="15"/>
  <c r="L15" i="15"/>
  <c r="K15" i="15"/>
  <c r="J18" i="15"/>
  <c r="J17" i="15"/>
  <c r="J16" i="15"/>
  <c r="J15" i="15"/>
  <c r="I18" i="15"/>
  <c r="S30" i="15" s="1"/>
  <c r="I17" i="15"/>
  <c r="I16" i="15"/>
  <c r="P16" i="15" l="1"/>
  <c r="Q16" i="15"/>
  <c r="Q17" i="15"/>
  <c r="P17" i="15"/>
  <c r="Q18" i="15"/>
  <c r="P18" i="15"/>
  <c r="S16" i="15"/>
  <c r="T16" i="15"/>
  <c r="R16" i="15"/>
  <c r="K37" i="15" s="1"/>
  <c r="R17" i="15"/>
  <c r="K38" i="15" s="1"/>
  <c r="T17" i="15"/>
  <c r="S17" i="15"/>
  <c r="T18" i="15"/>
  <c r="R18" i="15"/>
  <c r="K39" i="15" s="1"/>
  <c r="S18" i="15"/>
  <c r="S31" i="15" l="1"/>
  <c r="O38" i="15"/>
  <c r="N38" i="15"/>
  <c r="J37" i="15"/>
  <c r="L37" i="15"/>
  <c r="M37" i="15"/>
  <c r="O39" i="15"/>
  <c r="N39" i="15"/>
  <c r="J38" i="15"/>
  <c r="O37" i="15"/>
  <c r="O43" i="15" s="1"/>
  <c r="N37" i="15"/>
  <c r="L39" i="15"/>
  <c r="M39" i="15"/>
  <c r="J39" i="15"/>
  <c r="L38" i="15"/>
  <c r="M38" i="15"/>
  <c r="Q20" i="15"/>
  <c r="Q23" i="15" s="1"/>
  <c r="P20" i="15"/>
  <c r="P23" i="15" s="1"/>
  <c r="F35" i="15" l="1"/>
  <c r="H35" i="15"/>
  <c r="S21" i="15"/>
  <c r="T21" i="15"/>
  <c r="R21" i="15"/>
  <c r="N20" i="15"/>
  <c r="L20" i="15"/>
  <c r="B20" i="15"/>
  <c r="K34" i="15" s="1"/>
  <c r="J33" i="15" l="1"/>
  <c r="M33" i="15"/>
  <c r="L33" i="15"/>
  <c r="K33" i="15"/>
  <c r="K40" i="15"/>
  <c r="R23" i="15"/>
  <c r="O33" i="15"/>
  <c r="N33" i="15"/>
  <c r="O40" i="15"/>
  <c r="N40" i="15"/>
  <c r="N34" i="15"/>
  <c r="N41" i="15" s="1"/>
  <c r="J34" i="15"/>
  <c r="J41" i="15" s="1"/>
  <c r="L34" i="15"/>
  <c r="L41" i="15" s="1"/>
  <c r="O34" i="15"/>
  <c r="O41" i="15" s="1"/>
  <c r="M34" i="15"/>
  <c r="M41" i="15" s="1"/>
  <c r="J40" i="15"/>
  <c r="L40" i="15"/>
  <c r="M40" i="15"/>
  <c r="M19" i="15"/>
  <c r="M20" i="15" s="1"/>
  <c r="M23" i="15" s="1"/>
  <c r="H45" i="15" s="1"/>
  <c r="N23" i="15"/>
  <c r="I45" i="15" s="1"/>
  <c r="O20" i="15"/>
  <c r="O24" i="15" s="1"/>
  <c r="J20" i="15"/>
  <c r="K41" i="15"/>
  <c r="K20" i="15"/>
  <c r="T20" i="15"/>
  <c r="S20" i="15"/>
  <c r="R20" i="15"/>
  <c r="R42" i="15" l="1"/>
  <c r="R43" i="15" s="1"/>
  <c r="K42" i="15"/>
  <c r="M42" i="15"/>
  <c r="N42" i="15"/>
  <c r="O42" i="15"/>
  <c r="L42" i="15"/>
  <c r="J42" i="15"/>
  <c r="Q27" i="15" s="1"/>
  <c r="I47" i="15"/>
  <c r="I61" i="15" s="1"/>
  <c r="H47" i="15"/>
  <c r="H61" i="15" s="1"/>
  <c r="K22" i="15"/>
  <c r="G44" i="15" s="1"/>
  <c r="K23" i="15"/>
  <c r="G45" i="15" s="1"/>
  <c r="M47" i="15"/>
  <c r="M61" i="15" s="1"/>
  <c r="N47" i="15"/>
  <c r="N61" i="15" s="1"/>
  <c r="O47" i="15"/>
  <c r="O61" i="15" s="1"/>
  <c r="L47" i="15"/>
  <c r="L61" i="15" s="1"/>
  <c r="K47" i="15"/>
  <c r="K61" i="15" s="1"/>
  <c r="J23" i="15"/>
  <c r="F45" i="15" s="1"/>
  <c r="O23" i="15"/>
  <c r="R47" i="15" l="1"/>
  <c r="R48" i="15" s="1"/>
  <c r="Q26" i="15"/>
  <c r="J45" i="15"/>
  <c r="J47" i="15" s="1"/>
  <c r="N57" i="15"/>
  <c r="N58" i="15"/>
  <c r="N59" i="15"/>
  <c r="N60" i="15"/>
  <c r="K59" i="15"/>
  <c r="K60" i="15"/>
  <c r="K57" i="15"/>
  <c r="K58" i="15"/>
  <c r="L60" i="15"/>
  <c r="L58" i="15"/>
  <c r="L59" i="15"/>
  <c r="L57" i="15"/>
  <c r="H58" i="15"/>
  <c r="H59" i="15"/>
  <c r="H60" i="15"/>
  <c r="H57" i="15"/>
  <c r="O57" i="15"/>
  <c r="O58" i="15"/>
  <c r="O59" i="15"/>
  <c r="O60" i="15"/>
  <c r="M60" i="15"/>
  <c r="M57" i="15"/>
  <c r="M58" i="15"/>
  <c r="M59" i="15"/>
  <c r="I58" i="15"/>
  <c r="I59" i="15"/>
  <c r="I60" i="15"/>
  <c r="I57" i="15"/>
  <c r="L51" i="15"/>
  <c r="K51" i="15"/>
  <c r="H51" i="15"/>
  <c r="O51" i="15"/>
  <c r="N51" i="15"/>
  <c r="M51" i="15"/>
  <c r="I51" i="15"/>
  <c r="H48" i="15"/>
  <c r="H50" i="15"/>
  <c r="I50" i="15"/>
  <c r="I48" i="15"/>
  <c r="L50" i="15"/>
  <c r="L48" i="15"/>
  <c r="L49" i="15" s="1"/>
  <c r="N50" i="15"/>
  <c r="N48" i="15"/>
  <c r="M50" i="15"/>
  <c r="M48" i="15"/>
  <c r="K48" i="15"/>
  <c r="K50" i="15"/>
  <c r="O50" i="15"/>
  <c r="O48" i="15"/>
  <c r="G47" i="15"/>
  <c r="G61" i="15" s="1"/>
  <c r="F47" i="15"/>
  <c r="F61" i="15" s="1"/>
  <c r="J61" i="15" l="1"/>
  <c r="J57" i="15"/>
  <c r="J51" i="15"/>
  <c r="J58" i="15"/>
  <c r="J50" i="15"/>
  <c r="J48" i="15"/>
  <c r="J49" i="15" s="1"/>
  <c r="J59" i="15"/>
  <c r="J60" i="15"/>
  <c r="G57" i="15"/>
  <c r="G58" i="15"/>
  <c r="G59" i="15"/>
  <c r="G60" i="15"/>
  <c r="F57" i="15"/>
  <c r="F58" i="15"/>
  <c r="F59" i="15"/>
  <c r="F60" i="15"/>
  <c r="G51" i="15"/>
  <c r="L53" i="15"/>
  <c r="L62" i="15"/>
  <c r="L63" i="15"/>
  <c r="L68" i="15" s="1"/>
  <c r="F51" i="15"/>
  <c r="O49" i="15"/>
  <c r="I49" i="15"/>
  <c r="K49" i="15"/>
  <c r="N49" i="15"/>
  <c r="M49" i="15"/>
  <c r="H49" i="15"/>
  <c r="G50" i="15"/>
  <c r="G48" i="15"/>
  <c r="G49" i="15" s="1"/>
  <c r="L52" i="15"/>
  <c r="F48" i="15"/>
  <c r="F50" i="15"/>
  <c r="H54" i="15" l="1"/>
  <c r="H53" i="15"/>
  <c r="L55" i="15"/>
  <c r="L56" i="15" s="1"/>
  <c r="L69" i="15"/>
  <c r="G53" i="15"/>
  <c r="G62" i="15"/>
  <c r="G63" i="15"/>
  <c r="M53" i="15"/>
  <c r="M63" i="15"/>
  <c r="M62" i="15"/>
  <c r="M68" i="15" s="1"/>
  <c r="I53" i="15"/>
  <c r="I62" i="15"/>
  <c r="I63" i="15"/>
  <c r="O52" i="15"/>
  <c r="O55" i="15" s="1"/>
  <c r="O63" i="15"/>
  <c r="O62" i="15"/>
  <c r="H62" i="15"/>
  <c r="H63" i="15"/>
  <c r="N63" i="15"/>
  <c r="N62" i="15"/>
  <c r="N68" i="15" s="1"/>
  <c r="K62" i="15"/>
  <c r="K63" i="15"/>
  <c r="J53" i="15"/>
  <c r="J62" i="15"/>
  <c r="J63" i="15"/>
  <c r="N53" i="15"/>
  <c r="O53" i="15"/>
  <c r="K53" i="15"/>
  <c r="N52" i="15"/>
  <c r="N55" i="15" s="1"/>
  <c r="J52" i="15"/>
  <c r="F49" i="15"/>
  <c r="M52" i="15"/>
  <c r="K52" i="15"/>
  <c r="K55" i="15" s="1"/>
  <c r="I52" i="15"/>
  <c r="I55" i="15" s="1"/>
  <c r="H52" i="15"/>
  <c r="H55" i="15" s="1"/>
  <c r="G52" i="15"/>
  <c r="G55" i="15" l="1"/>
  <c r="G56" i="15" s="1"/>
  <c r="M55" i="15"/>
  <c r="M56" i="15" s="1"/>
  <c r="J55" i="15"/>
  <c r="O56" i="15"/>
  <c r="G68" i="15"/>
  <c r="G69" i="15" s="1"/>
  <c r="O68" i="15"/>
  <c r="O69" i="15" s="1"/>
  <c r="J68" i="15"/>
  <c r="J69" i="15" s="1"/>
  <c r="M69" i="15"/>
  <c r="H68" i="15"/>
  <c r="H69" i="15" s="1"/>
  <c r="I56" i="15"/>
  <c r="I68" i="15"/>
  <c r="I69" i="15" s="1"/>
  <c r="K68" i="15"/>
  <c r="K69" i="15" s="1"/>
  <c r="N69" i="15"/>
  <c r="K56" i="15"/>
  <c r="F52" i="15"/>
  <c r="F55" i="15" s="1"/>
  <c r="F62" i="15"/>
  <c r="F63" i="15"/>
  <c r="J56" i="15"/>
  <c r="H56" i="15"/>
  <c r="N56" i="15"/>
  <c r="F53" i="15"/>
  <c r="F56" i="15" l="1"/>
  <c r="F68" i="15"/>
  <c r="F69" i="15" s="1"/>
</calcChain>
</file>

<file path=xl/sharedStrings.xml><?xml version="1.0" encoding="utf-8"?>
<sst xmlns="http://schemas.openxmlformats.org/spreadsheetml/2006/main" count="480" uniqueCount="283">
  <si>
    <t>Mozo</t>
  </si>
  <si>
    <t>SOMU</t>
  </si>
  <si>
    <t>TOTAL</t>
  </si>
  <si>
    <t>Concepto</t>
  </si>
  <si>
    <t>C1</t>
  </si>
  <si>
    <t>Clasif.</t>
  </si>
  <si>
    <t>Kgs.Netos</t>
  </si>
  <si>
    <t>Capitán</t>
  </si>
  <si>
    <t>J Máq</t>
  </si>
  <si>
    <t>1º Ofic</t>
  </si>
  <si>
    <t>G Máq</t>
  </si>
  <si>
    <t>Cont Esp</t>
  </si>
  <si>
    <t>C y C</t>
  </si>
  <si>
    <t>M Pta</t>
  </si>
  <si>
    <t>L 1</t>
  </si>
  <si>
    <t>L 2</t>
  </si>
  <si>
    <t>L 3</t>
  </si>
  <si>
    <t>Un</t>
  </si>
  <si>
    <t>Bod / Tun</t>
  </si>
  <si>
    <t>Antigüedad</t>
  </si>
  <si>
    <t>ART</t>
  </si>
  <si>
    <t>USD billete</t>
  </si>
  <si>
    <t>Eng y M Cbt</t>
  </si>
  <si>
    <t>Gratificación Producción Colas Marinería</t>
  </si>
  <si>
    <t>P Pesca</t>
  </si>
  <si>
    <t>Contra</t>
  </si>
  <si>
    <t>Valores producción fuera de convenio</t>
  </si>
  <si>
    <t>Producción final fuera de convenio</t>
  </si>
  <si>
    <t>Absorción SOMU</t>
  </si>
  <si>
    <t>MAREA</t>
  </si>
  <si>
    <t>INICIO</t>
  </si>
  <si>
    <t>FIN</t>
  </si>
  <si>
    <t>DIAS NAV</t>
  </si>
  <si>
    <t>DIAS PTO</t>
  </si>
  <si>
    <t>DIAS FDO</t>
  </si>
  <si>
    <t>BUQUE</t>
  </si>
  <si>
    <t>PM</t>
  </si>
  <si>
    <t>AM</t>
  </si>
  <si>
    <t>-</t>
  </si>
  <si>
    <t>MES 1</t>
  </si>
  <si>
    <t>MES 2</t>
  </si>
  <si>
    <t>% NO REM</t>
  </si>
  <si>
    <t>% REM</t>
  </si>
  <si>
    <t>Adicional Art 23 - 33</t>
  </si>
  <si>
    <t>Producción final AACPyPP - SOMU</t>
  </si>
  <si>
    <t>BAS NAV</t>
  </si>
  <si>
    <t>BAS PTO</t>
  </si>
  <si>
    <t>PAGO MES 1</t>
  </si>
  <si>
    <t>DIF</t>
  </si>
  <si>
    <t>A cuenta futuros aumentos</t>
  </si>
  <si>
    <t>Jubilación</t>
  </si>
  <si>
    <t>Ley 19032</t>
  </si>
  <si>
    <t>CATEGORIA SUPERIOR PTA - CBTA</t>
  </si>
  <si>
    <t>Asignaciones familiares</t>
  </si>
  <si>
    <t>Sueldo navegación</t>
  </si>
  <si>
    <t>Sueldo puerto</t>
  </si>
  <si>
    <t>Incentivo producción</t>
  </si>
  <si>
    <t>Plus carga completa</t>
  </si>
  <si>
    <t>Premio adicional especial producción</t>
  </si>
  <si>
    <t>Langostino entero 1</t>
  </si>
  <si>
    <t>Langostino entero 2</t>
  </si>
  <si>
    <t>Langostino entero 3</t>
  </si>
  <si>
    <t>Langostino cola 1</t>
  </si>
  <si>
    <t>Gratificación producción colas</t>
  </si>
  <si>
    <t>Adicional trabajos especiales</t>
  </si>
  <si>
    <t>Adicional tareas mecánicas</t>
  </si>
  <si>
    <t>Obra social</t>
  </si>
  <si>
    <t>Cuota sindical</t>
  </si>
  <si>
    <t>Fondo nacional empleo</t>
  </si>
  <si>
    <t>Fijo ART</t>
  </si>
  <si>
    <t>Sindicales</t>
  </si>
  <si>
    <t>Total contribuciones</t>
  </si>
  <si>
    <t>Total remunerativo</t>
  </si>
  <si>
    <t>Total NO remunerativo</t>
  </si>
  <si>
    <t>Total marea</t>
  </si>
  <si>
    <t>Total retenciones</t>
  </si>
  <si>
    <t>Neto marea</t>
  </si>
  <si>
    <t>Costo empresa</t>
  </si>
  <si>
    <t>Tarea diferencial</t>
  </si>
  <si>
    <t>SVO</t>
  </si>
  <si>
    <t>A14</t>
  </si>
  <si>
    <t>.</t>
  </si>
  <si>
    <t>Feriados</t>
  </si>
  <si>
    <t>1588-3788</t>
  </si>
  <si>
    <t>4700-2792</t>
  </si>
  <si>
    <t>Cuota extraordinaria acc soc CAP</t>
  </si>
  <si>
    <t>No. Empleado</t>
  </si>
  <si>
    <t>Nombre Empleado</t>
  </si>
  <si>
    <t>No. Proyecto</t>
  </si>
  <si>
    <t>Buque</t>
  </si>
  <si>
    <t>Marea</t>
  </si>
  <si>
    <t>Cód. Convenio</t>
  </si>
  <si>
    <t>Cód. Categoría</t>
  </si>
  <si>
    <t>Rol en Proyecto</t>
  </si>
  <si>
    <t>Fecha Alta Asignación</t>
  </si>
  <si>
    <t>Fecha Baja</t>
  </si>
  <si>
    <t>Zona Desfavorable</t>
  </si>
  <si>
    <t>CARLOS ESTEBAN</t>
  </si>
  <si>
    <t>PP-114-000311</t>
  </si>
  <si>
    <t>175/75</t>
  </si>
  <si>
    <t>OF02</t>
  </si>
  <si>
    <t>SERGIO JULIAN</t>
  </si>
  <si>
    <t>OF01</t>
  </si>
  <si>
    <t>CARLOS DAMIAN</t>
  </si>
  <si>
    <t>729/15</t>
  </si>
  <si>
    <t>MR01</t>
  </si>
  <si>
    <t>OSCAR ANTENOR</t>
  </si>
  <si>
    <t>MR05</t>
  </si>
  <si>
    <t>MARCOS CESAR</t>
  </si>
  <si>
    <t>MR08</t>
  </si>
  <si>
    <t>RAMON ALEJANDRO</t>
  </si>
  <si>
    <t>PEDRO</t>
  </si>
  <si>
    <t>EDUARDO ANTONIO</t>
  </si>
  <si>
    <t>CRISTIAN ORLANDO</t>
  </si>
  <si>
    <t>MARIANO ANGEL</t>
  </si>
  <si>
    <t>JULIO JESUS</t>
  </si>
  <si>
    <t>RUBEN DARIO</t>
  </si>
  <si>
    <t>MR02</t>
  </si>
  <si>
    <t>RAMON BALTAZAR</t>
  </si>
  <si>
    <t>LEOPOLDO ROMAN</t>
  </si>
  <si>
    <t>NESTOR JAVIER</t>
  </si>
  <si>
    <t>MAXIMILIANO</t>
  </si>
  <si>
    <t>MAURO RODRIGO</t>
  </si>
  <si>
    <t>ABEL VALENTIN</t>
  </si>
  <si>
    <t>JORGE OSCAR</t>
  </si>
  <si>
    <t>CRISTIAN LEANDRO</t>
  </si>
  <si>
    <t>MR04</t>
  </si>
  <si>
    <t>MARTIN ALBERTO</t>
  </si>
  <si>
    <t>RAMON RICARDO</t>
  </si>
  <si>
    <t>JOSE MARIA</t>
  </si>
  <si>
    <t>APARICIO DANIEL</t>
  </si>
  <si>
    <t>PABLO RODRIGO</t>
  </si>
  <si>
    <t>GABRIEL NICOLAS</t>
  </si>
  <si>
    <t>PABLO DE JESUS</t>
  </si>
  <si>
    <t>PATRICIO HERLADO</t>
  </si>
  <si>
    <t>ROBERTO LUCAS</t>
  </si>
  <si>
    <t>DANIEL ORLANDO</t>
  </si>
  <si>
    <t>($B15/1000*$I15*$C$9*R$14)*0,9</t>
  </si>
  <si>
    <t>$R15*$C$10</t>
  </si>
  <si>
    <t>Descarga en tn*Precio SOMU*82%*TC*porcentaje producción categoría *0,9*porcentaje remunerativo</t>
  </si>
  <si>
    <t>(($B18/1000*$I18*$C$9*R$14)*0,9)</t>
  </si>
  <si>
    <t>Producción Colas tn * Valor SOMU * TC * Coef producción/Valor colas SOMU* Valor entero SOMU</t>
  </si>
  <si>
    <t>(319.953,37608/0,3/4500*IF(82%&lt;&gt;0,82%,1)*5800*IF(82%&lt;&gt;0,82%,1)-319.953,37608)*0,3</t>
  </si>
  <si>
    <t>((BASE_PROD_COLA/COEF_TANGONERO)*VALOR_C1*IF(PCT_NORM_TANG&lt;&gt;0,PCT_NORM_TANG,1)*TC_CERCANO*0,9)-PCT_PROD)VALOR_L1*IF(PCT_NORM_TANG&lt;&gt;0,PCT_NORM_TANG,1)-BASE_PROD_COLA/COEF_TANGONERO)</t>
  </si>
  <si>
    <t>Orden Cálculo</t>
  </si>
  <si>
    <t>Cód. Concepto</t>
  </si>
  <si>
    <t>Nombre Impresión</t>
  </si>
  <si>
    <t>Tipo Concepto</t>
  </si>
  <si>
    <t>Cantidad</t>
  </si>
  <si>
    <t>Unidad</t>
  </si>
  <si>
    <t>Base Cálculo</t>
  </si>
  <si>
    <t>Importe</t>
  </si>
  <si>
    <t>Vigencia Concepto</t>
  </si>
  <si>
    <t>Fórmula Aplicada</t>
  </si>
  <si>
    <t>Fórmula con Valores</t>
  </si>
  <si>
    <t>Sueldo de navegacion</t>
  </si>
  <si>
    <t>Haber Remunerativo</t>
  </si>
  <si>
    <t>DIA</t>
  </si>
  <si>
    <t>round(DIAS_PROYECTO * PRECIO_NAV* COEF_TANGONERO,0.0001)</t>
  </si>
  <si>
    <t>ROUND(9 * 31710* 0,3,0.0001)</t>
  </si>
  <si>
    <t>Antiguedad</t>
  </si>
  <si>
    <t>round(DIAS_ENROLAMIENTO*PRECIO_NAV* PCT_ANTIG*COEF_TANGONERO,0.0001)</t>
  </si>
  <si>
    <t>ROUND(11*31710* 25%*0,3,0.0001)</t>
  </si>
  <si>
    <t>Sueldo de puerto</t>
  </si>
  <si>
    <t>DIAS_PUERTO*PRECIO_PUERTO*COEF_TANGONERO</t>
  </si>
  <si>
    <t>2*91694*0,3</t>
  </si>
  <si>
    <t>Produccion langostino entero 1</t>
  </si>
  <si>
    <t>KN</t>
  </si>
  <si>
    <t>(PROD_KN_L1 / 1000 * VALOR_L1*PCT_NORM_TANG * IF(PCT_PROD&lt;&gt;0,PCT_PROD,1)/100 * 0,9 * TC_CERCANO)*COEF_TANGONERO</t>
  </si>
  <si>
    <t>(35676 / 1000 * 5800*82% * IF(100%&lt;&gt;0,100%,1)/100 * 0,9 * 1460)*0,3</t>
  </si>
  <si>
    <t>Produccion langostino entero 2</t>
  </si>
  <si>
    <t>(PROD_KN_L2 / 1000 * VALOR_L2*PCT_NORM_TANG * IF(PCT_PROD&lt;&gt;0,PCT_PROD,1)/100 * 0,9 * TC_CERCANO)*COEF_TANGONERO</t>
  </si>
  <si>
    <t>(34392 / 1000 * 5500*82% * IF(100%&lt;&gt;0,100%,1)/100 * 0,9 * 1460)*0,3</t>
  </si>
  <si>
    <t>Produccion langostino cola 1</t>
  </si>
  <si>
    <t>(PROD_KN_C1 / 1000 * VALOR_C1*PCT_NORM_TANG * IF(PCT_PROD&lt;&gt;0,PCT_PROD,1)/100 * 0,9 * TC_CERCANO)*COEF_TANGONERO</t>
  </si>
  <si>
    <t>(21996 / 1000 * 4500*82% * IF(100%&lt;&gt;0,100%,1)/100 * 0,9 * 1460)*0,3</t>
  </si>
  <si>
    <t>Gratificacion produccion langostino colas</t>
  </si>
  <si>
    <t>(((BASE_PROD_COLA/COEF_TANGONERO)/VALOR_C1*VALOR_L1)-(BASE_PROD_COLA/COEF_TANGONERO))*COEF_TANGONERO</t>
  </si>
  <si>
    <t>(((319.953,37608/0,3)/4500*5800)-(319.953,37608/0,3))*0,3</t>
  </si>
  <si>
    <t>Adicional articulo 33</t>
  </si>
  <si>
    <t>round(DIAS_PROYECTO * PRECIO_NAV*PCT_33* COEF_TANGONERO,0.0001)</t>
  </si>
  <si>
    <t>ROUND(9 * 31710*60%* 0,3,0.0001)</t>
  </si>
  <si>
    <t>Incentivo a la produccion</t>
  </si>
  <si>
    <t>Adicional bodega remunerativo</t>
  </si>
  <si>
    <t>PROD_KN_MAREA/1000*VAL_CARG_COMP*COEF_TANGONERO</t>
  </si>
  <si>
    <t>92064/1000*1928*0,3</t>
  </si>
  <si>
    <t>Absorcion articulo 36 CCT SOMU-CAPECA</t>
  </si>
  <si>
    <t>Deducción Remunerativa</t>
  </si>
  <si>
    <t>BASE_ABS_SOMU*-1</t>
  </si>
  <si>
    <t>138.866,8176*-1</t>
  </si>
  <si>
    <t>Cuota sindical</t>
  </si>
  <si>
    <t>Descuento Empleado</t>
  </si>
  <si>
    <t>round(BASE_SINDICAL * PCT_CUOTA_SIND,0.0001)</t>
  </si>
  <si>
    <t>ROUND(2.143.031,067984 * 4%,0.0001)</t>
  </si>
  <si>
    <t>Jubilacion</t>
  </si>
  <si>
    <t>Seguridad Social</t>
  </si>
  <si>
    <t>round(MIN(BASE_SS,TOPE_SIPA)*PCT_JUB,0.0001)</t>
  </si>
  <si>
    <t>ROUND(MIN(2.143.031,067984,4.414.652,38)*11%,0.0001)</t>
  </si>
  <si>
    <t>Ley 19032</t>
  </si>
  <si>
    <t>round(MIN(BASE_SS,TOPE_SIPA)*PCT_19032,0.0001)</t>
  </si>
  <si>
    <t>ROUND(MIN(2.143.031,067984,4.414.652,38)*3%,0.0001)</t>
  </si>
  <si>
    <t>Obra social</t>
  </si>
  <si>
    <t>round(MIN(BASE_OS,TOPE_SIPA_OS)*PCT_OS,0.0001)</t>
  </si>
  <si>
    <t>Contrib. patronal jubilacion</t>
  </si>
  <si>
    <t>Contribución Patronal</t>
  </si>
  <si>
    <t>round(MAX(0,BASE_IG4+BASE_EXT_IG4-DED_CONT_PATR)*PCT_CONT_JUB,0.0001)</t>
  </si>
  <si>
    <t>ROUND(MAX(0,2.143.031,067984+0-7.003,68)*10,77%,0.0001)</t>
  </si>
  <si>
    <t>Contrib. patronal ley 19032</t>
  </si>
  <si>
    <t>round(MAX(0,BASE_IG4+BASE_EXT_IG4-DED_CONT_PATR )*PCT_CONT_19032,0.0001)</t>
  </si>
  <si>
    <t>ROUND(MAX(0,2.143.031,067984+0-7.003,68 )*1,59%,0.0001)</t>
  </si>
  <si>
    <t>Obra Social</t>
  </si>
  <si>
    <t>round(MAX(0,BASE_IG4+BASE_EXT_IG4)*PCT_CONT_23660,0.0001)</t>
  </si>
  <si>
    <t>ROUND(MAX(0,2.143.031,067984+0)*6%,0.0001)</t>
  </si>
  <si>
    <t>round(BASE_LRT*PCT_ART+VALOR_ART_FIJO,0.0001)</t>
  </si>
  <si>
    <t>ROUND(2.143.031,067984*7,4%+1602,0.0001)</t>
  </si>
  <si>
    <t>Asignaciones Familiares</t>
  </si>
  <si>
    <t>round(MAX(0,BASE_IG4+BASE_EXT_IG4-DED_CONT_PATR)*PCT_ASIG_FAMI,0.0001)</t>
  </si>
  <si>
    <t>ROUND(MAX(0,2.143.031,067984+0-7.003,68)*4,7%,0.0001)</t>
  </si>
  <si>
    <t>Fondo Nacional de Empleo</t>
  </si>
  <si>
    <t>round(MAX(0,BASE_IG4+BASE_EXT_IG4-DED_CONT_PATR)*PCT_FNE,0.0001)</t>
  </si>
  <si>
    <t>ROUND(MAX(0,2.143.031,067984+0-7.003,68)*0,94%,0.0001)</t>
  </si>
  <si>
    <t xml:space="preserve">Concepto </t>
  </si>
  <si>
    <t xml:space="preserve"> Unidades </t>
  </si>
  <si>
    <t xml:space="preserve"> Haberes C/D. </t>
  </si>
  <si>
    <t xml:space="preserve"> Descuentos </t>
  </si>
  <si>
    <t xml:space="preserve"> Haberes S/D</t>
  </si>
  <si>
    <t>9.00</t>
  </si>
  <si>
    <t>2.00</t>
  </si>
  <si>
    <t>8.00</t>
  </si>
  <si>
    <t>3.00</t>
  </si>
  <si>
    <t>19.00</t>
  </si>
  <si>
    <t>35.68</t>
  </si>
  <si>
    <t>34.39</t>
  </si>
  <si>
    <t>22.00</t>
  </si>
  <si>
    <t>1.00</t>
  </si>
  <si>
    <t>11.00</t>
  </si>
  <si>
    <t>OSPM</t>
  </si>
  <si>
    <t>4.00</t>
  </si>
  <si>
    <t>sindical</t>
  </si>
  <si>
    <t>Redondeo</t>
  </si>
  <si>
    <t>Adicional Art.</t>
  </si>
  <si>
    <t>Absorción Art.36 CCT 729/2015</t>
  </si>
  <si>
    <t>Horas extras 50%</t>
  </si>
  <si>
    <t>Horas extras 100%</t>
  </si>
  <si>
    <t>Incentivo a la producción</t>
  </si>
  <si>
    <t>Producción L1</t>
  </si>
  <si>
    <t>Producción L2</t>
  </si>
  <si>
    <t>Producción C1</t>
  </si>
  <si>
    <t>Absorción acuerdo SOMU-CAPECA</t>
  </si>
  <si>
    <t>Sueldo día feriado</t>
  </si>
  <si>
    <t>Gratificación prod. Lang. Colas</t>
  </si>
  <si>
    <t>Anticipo llegada</t>
  </si>
  <si>
    <t>Impuesto a las ganancias</t>
  </si>
  <si>
    <t>Acuerdo sindical Dto.633/18</t>
  </si>
  <si>
    <t>Dif</t>
  </si>
  <si>
    <t>ARB</t>
  </si>
  <si>
    <t>round(50/70*85*DIAS_PROYECTO * COEF_TANGONERO,0.0001)</t>
  </si>
  <si>
    <t>ROUND(50/70*85*9 * 0,3,0.0001)</t>
  </si>
  <si>
    <t>if(DIAS_ENROLAMIENTO&lt;&gt;0,round((DIAS_PROYECTO +DIAS_PUERTO)*PRECIO_NAV* PCT_ANTIG*COEF_TANGONERO,0.0001),round(BASICO*ANIOS_ANT* PCT_ANTIG,0.0001))</t>
  </si>
  <si>
    <t>IF(22&lt;&gt;0,ROUND((9 +2)*31710* 25%*0,3,0.0001),ROUND(0*9* 25%,0.0001))</t>
  </si>
  <si>
    <t>(PROD_KN_L1 / 1000 * VALOR_L1_SOMU*PCT_NORM_TANG * IF(PCT_PROD&lt;&gt;0,PCT_PROD,1)/100 * 0,9 * TC_CERCANO)*COEF_TANGONERO</t>
  </si>
  <si>
    <t>(PROD_KN_L2 / 1000 * VALOR_L2_SOMU*PCT_NORM_TANG * IF(PCT_PROD&lt;&gt;0,PCT_PROD,1)/100 * 0,9 * TC_CERCANO)*COEF_TANGONERO</t>
  </si>
  <si>
    <t>(PROD_KN_C1 / 1000 * VALOR_C1_SOMU*PCT_NORM_TANG * IF(PCT_PROD&lt;&gt;0,PCT_PROD,1)/100 * 0,9 * TC_CERCANO)*COEF_TANGONERO</t>
  </si>
  <si>
    <t>(((BASE_PROD_COLA/COEF_TANGONERO)/VALOR_C1_SOMU*VALOR_L1_SOMU)-(BASE_PROD_COLA/COEF_TANGONERO))*COEF_TANGONERO</t>
  </si>
  <si>
    <t>round(@1013*PCT_33,0.0001)</t>
  </si>
  <si>
    <t>ROUND(85617*60%,0.0001)</t>
  </si>
  <si>
    <t>Sueldo de feriado</t>
  </si>
  <si>
    <t>round(BASE_FERIADO/(DIAS_PROYECTO+DIAS_PUERTO),0.01)*DIAS_FERIADOS</t>
  </si>
  <si>
    <t>ROUND(1.818.412,217472/(9+2),0.01)*1</t>
  </si>
  <si>
    <t>round(50/70*85*DIAS_PROYECTO * COEF_TANGONERO,0.0001)</t>
  </si>
  <si>
    <t>ROUND(50/70*85*9 * 0,3,0.0001)</t>
  </si>
  <si>
    <t>Anticipo de llegada</t>
  </si>
  <si>
    <t>Adicional Art. 33</t>
  </si>
  <si>
    <t>Horas extras 50 *</t>
  </si>
  <si>
    <t>Horas extras 100 *</t>
  </si>
  <si>
    <t>Absorción Art. 36 CCT 729/2015</t>
  </si>
  <si>
    <t>Producción langostino entero 1 35.68</t>
  </si>
  <si>
    <t>Producción langostino entero 2 34.39</t>
  </si>
  <si>
    <t>Producción langostino cola 1</t>
  </si>
  <si>
    <t>Gratificación prod lang colas</t>
  </si>
  <si>
    <t>Horas extras 50%</t>
  </si>
  <si>
    <t>HORA</t>
  </si>
  <si>
    <t>Horas extras 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</si>
</sst>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USD]\ #,##0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ptos"/>
      <family val="2"/>
    </font>
    <font>
      <b/>
      <sz val="10"/>
      <color rgb="FFC00000"/>
      <name val="Aptos"/>
      <family val="2"/>
    </font>
    <font>
      <sz val="10"/>
      <name val="Aptos"/>
      <family val="2"/>
    </font>
    <font>
      <b/>
      <sz val="10"/>
      <color theme="0" tint="-0.499984740745262"/>
      <name val="Aptos"/>
      <family val="2"/>
    </font>
    <font>
      <sz val="10"/>
      <color theme="0" tint="-0.499984740745262"/>
      <name val="Aptos"/>
      <family val="2"/>
    </font>
    <font>
      <b/>
      <u/>
      <sz val="10"/>
      <name val="Aptos"/>
      <family val="2"/>
    </font>
    <font>
      <b/>
      <sz val="10"/>
      <color indexed="23"/>
      <name val="Aptos"/>
      <family val="2"/>
    </font>
    <font>
      <sz val="8"/>
      <name val="Calibri"/>
      <family val="2"/>
      <scheme val="minor"/>
    </font>
    <font>
      <sz val="9"/>
      <color rgb="FF666666"/>
      <name val="Segoe UI"/>
      <family val="2"/>
    </font>
    <font>
      <sz val="10.5"/>
      <color rgb="FF212121"/>
      <name val="Segoe U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D3D6DA"/>
      </top>
      <bottom/>
      <diagonal/>
    </border>
  </borders>
  <cellStyleXfs count="3">
    <xf numFmtId="0" fontId="0" fillId="0" borderId="0"/>
    <xf numFmtId="0" fontId="1" fillId="0" borderId="0"/>
    <xf numFmtId="43" fontId="12" fillId="0" borderId="0" applyFont="0" applyFill="0" applyBorder="0" applyAlignment="0" applyProtection="0"/>
  </cellStyleXfs>
  <cellXfs count="115">
    <xf numFmtId="0" fontId="0" fillId="0" borderId="0" xfId="0"/>
    <xf numFmtId="3" fontId="2" fillId="0" borderId="0" xfId="1" applyNumberFormat="1" applyFont="1" applyAlignment="1">
      <alignment horizontal="center"/>
    </xf>
    <xf numFmtId="0" fontId="2" fillId="0" borderId="2" xfId="1" applyFont="1" applyBorder="1" applyAlignment="1">
      <alignment horizontal="center"/>
    </xf>
    <xf numFmtId="4" fontId="2" fillId="0" borderId="2" xfId="1" applyNumberFormat="1" applyFont="1" applyBorder="1" applyAlignment="1">
      <alignment horizontal="center"/>
    </xf>
    <xf numFmtId="4" fontId="2" fillId="0" borderId="4" xfId="1" applyNumberFormat="1" applyFont="1" applyBorder="1" applyAlignment="1">
      <alignment horizontal="center"/>
    </xf>
    <xf numFmtId="0" fontId="3" fillId="0" borderId="0" xfId="1" applyFont="1" applyAlignment="1">
      <alignment horizontal="center"/>
    </xf>
    <xf numFmtId="4" fontId="2" fillId="2" borderId="1" xfId="1" applyNumberFormat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0" fontId="2" fillId="0" borderId="3" xfId="1" applyFont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/>
    </xf>
    <xf numFmtId="4" fontId="2" fillId="2" borderId="2" xfId="1" applyNumberFormat="1" applyFont="1" applyFill="1" applyBorder="1" applyAlignment="1">
      <alignment horizontal="center"/>
    </xf>
    <xf numFmtId="4" fontId="2" fillId="2" borderId="4" xfId="1" applyNumberFormat="1" applyFont="1" applyFill="1" applyBorder="1" applyAlignment="1">
      <alignment horizontal="center"/>
    </xf>
    <xf numFmtId="3" fontId="4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4" fontId="2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4" fontId="4" fillId="0" borderId="0" xfId="1" applyNumberFormat="1" applyFont="1" applyAlignment="1">
      <alignment horizontal="center"/>
    </xf>
    <xf numFmtId="4" fontId="5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/>
    </xf>
    <xf numFmtId="3" fontId="3" fillId="3" borderId="0" xfId="1" applyNumberFormat="1" applyFont="1" applyFill="1" applyAlignment="1">
      <alignment horizontal="center"/>
    </xf>
    <xf numFmtId="14" fontId="6" fillId="0" borderId="0" xfId="1" applyNumberFormat="1" applyFont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4" fontId="3" fillId="3" borderId="6" xfId="1" applyNumberFormat="1" applyFont="1" applyFill="1" applyBorder="1" applyAlignment="1">
      <alignment horizontal="center"/>
    </xf>
    <xf numFmtId="4" fontId="3" fillId="3" borderId="2" xfId="1" applyNumberFormat="1" applyFont="1" applyFill="1" applyBorder="1" applyAlignment="1">
      <alignment horizontal="center"/>
    </xf>
    <xf numFmtId="3" fontId="4" fillId="0" borderId="5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0" borderId="6" xfId="1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left"/>
    </xf>
    <xf numFmtId="4" fontId="6" fillId="0" borderId="0" xfId="1" applyNumberFormat="1" applyFont="1" applyAlignment="1">
      <alignment horizontal="left"/>
    </xf>
    <xf numFmtId="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4" fontId="3" fillId="3" borderId="0" xfId="1" applyNumberFormat="1" applyFont="1" applyFill="1" applyAlignment="1">
      <alignment horizontal="right"/>
    </xf>
    <xf numFmtId="4" fontId="3" fillId="0" borderId="0" xfId="1" applyNumberFormat="1" applyFont="1" applyAlignment="1">
      <alignment horizontal="left"/>
    </xf>
    <xf numFmtId="4" fontId="3" fillId="0" borderId="0" xfId="1" applyNumberFormat="1" applyFont="1" applyAlignment="1">
      <alignment horizontal="center"/>
    </xf>
    <xf numFmtId="0" fontId="4" fillId="2" borderId="2" xfId="1" applyFont="1" applyFill="1" applyBorder="1" applyAlignment="1">
      <alignment horizontal="center"/>
    </xf>
    <xf numFmtId="4" fontId="4" fillId="2" borderId="2" xfId="1" applyNumberFormat="1" applyFont="1" applyFill="1" applyBorder="1" applyAlignment="1">
      <alignment horizontal="center"/>
    </xf>
    <xf numFmtId="4" fontId="4" fillId="2" borderId="4" xfId="1" applyNumberFormat="1" applyFont="1" applyFill="1" applyBorder="1" applyAlignment="1">
      <alignment horizontal="center"/>
    </xf>
    <xf numFmtId="0" fontId="4" fillId="0" borderId="2" xfId="1" applyFont="1" applyBorder="1" applyAlignment="1">
      <alignment horizontal="center"/>
    </xf>
    <xf numFmtId="4" fontId="4" fillId="0" borderId="2" xfId="1" applyNumberFormat="1" applyFont="1" applyBorder="1" applyAlignment="1">
      <alignment horizontal="center"/>
    </xf>
    <xf numFmtId="4" fontId="4" fillId="0" borderId="4" xfId="1" applyNumberFormat="1" applyFont="1" applyBorder="1" applyAlignment="1">
      <alignment horizontal="center"/>
    </xf>
    <xf numFmtId="9" fontId="4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4" fontId="5" fillId="0" borderId="4" xfId="1" applyNumberFormat="1" applyFont="1" applyBorder="1" applyAlignment="1">
      <alignment horizontal="center"/>
    </xf>
    <xf numFmtId="9" fontId="2" fillId="0" borderId="1" xfId="1" applyNumberFormat="1" applyFont="1" applyBorder="1" applyAlignment="1">
      <alignment horizontal="center"/>
    </xf>
    <xf numFmtId="10" fontId="4" fillId="0" borderId="1" xfId="1" applyNumberFormat="1" applyFont="1" applyBorder="1" applyAlignment="1">
      <alignment horizontal="center"/>
    </xf>
    <xf numFmtId="4" fontId="2" fillId="0" borderId="0" xfId="1" applyNumberFormat="1" applyFont="1" applyAlignment="1">
      <alignment horizontal="left"/>
    </xf>
    <xf numFmtId="9" fontId="2" fillId="0" borderId="0" xfId="1" applyNumberFormat="1" applyFont="1" applyAlignment="1">
      <alignment horizontal="center"/>
    </xf>
    <xf numFmtId="0" fontId="4" fillId="0" borderId="3" xfId="1" applyFont="1" applyBorder="1" applyAlignment="1">
      <alignment horizontal="center"/>
    </xf>
    <xf numFmtId="0" fontId="3" fillId="3" borderId="10" xfId="1" applyFont="1" applyFill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4" fontId="3" fillId="3" borderId="13" xfId="1" applyNumberFormat="1" applyFont="1" applyFill="1" applyBorder="1" applyAlignment="1">
      <alignment horizontal="center"/>
    </xf>
    <xf numFmtId="4" fontId="3" fillId="3" borderId="14" xfId="1" applyNumberFormat="1" applyFont="1" applyFill="1" applyBorder="1" applyAlignment="1">
      <alignment horizontal="center"/>
    </xf>
    <xf numFmtId="4" fontId="3" fillId="3" borderId="15" xfId="1" applyNumberFormat="1" applyFont="1" applyFill="1" applyBorder="1" applyAlignment="1">
      <alignment horizontal="center"/>
    </xf>
    <xf numFmtId="4" fontId="3" fillId="3" borderId="16" xfId="1" applyNumberFormat="1" applyFont="1" applyFill="1" applyBorder="1" applyAlignment="1">
      <alignment horizontal="center"/>
    </xf>
    <xf numFmtId="3" fontId="4" fillId="0" borderId="13" xfId="1" applyNumberFormat="1" applyFont="1" applyBorder="1" applyAlignment="1">
      <alignment horizontal="center"/>
    </xf>
    <xf numFmtId="3" fontId="4" fillId="0" borderId="14" xfId="1" applyNumberFormat="1" applyFont="1" applyBorder="1" applyAlignment="1">
      <alignment horizontal="center"/>
    </xf>
    <xf numFmtId="3" fontId="4" fillId="0" borderId="15" xfId="1" applyNumberFormat="1" applyFont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4" fontId="2" fillId="2" borderId="18" xfId="1" applyNumberFormat="1" applyFont="1" applyFill="1" applyBorder="1" applyAlignment="1">
      <alignment horizontal="center"/>
    </xf>
    <xf numFmtId="4" fontId="2" fillId="2" borderId="19" xfId="1" applyNumberFormat="1" applyFont="1" applyFill="1" applyBorder="1" applyAlignment="1">
      <alignment horizontal="center"/>
    </xf>
    <xf numFmtId="4" fontId="2" fillId="2" borderId="20" xfId="1" applyNumberFormat="1" applyFont="1" applyFill="1" applyBorder="1" applyAlignment="1">
      <alignment horizontal="center"/>
    </xf>
    <xf numFmtId="4" fontId="2" fillId="2" borderId="21" xfId="1" applyNumberFormat="1" applyFont="1" applyFill="1" applyBorder="1" applyAlignment="1">
      <alignment horizontal="center"/>
    </xf>
    <xf numFmtId="10" fontId="3" fillId="2" borderId="18" xfId="1" applyNumberFormat="1" applyFont="1" applyFill="1" applyBorder="1" applyAlignment="1">
      <alignment horizontal="center"/>
    </xf>
    <xf numFmtId="10" fontId="3" fillId="2" borderId="19" xfId="1" applyNumberFormat="1" applyFont="1" applyFill="1" applyBorder="1" applyAlignment="1">
      <alignment horizontal="center"/>
    </xf>
    <xf numFmtId="10" fontId="3" fillId="2" borderId="20" xfId="1" applyNumberFormat="1" applyFont="1" applyFill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3" fillId="3" borderId="23" xfId="1" applyFont="1" applyFill="1" applyBorder="1" applyAlignment="1">
      <alignment horizontal="center"/>
    </xf>
    <xf numFmtId="4" fontId="3" fillId="3" borderId="24" xfId="1" applyNumberFormat="1" applyFont="1" applyFill="1" applyBorder="1" applyAlignment="1">
      <alignment horizontal="center"/>
    </xf>
    <xf numFmtId="4" fontId="3" fillId="3" borderId="25" xfId="1" applyNumberFormat="1" applyFont="1" applyFill="1" applyBorder="1" applyAlignment="1">
      <alignment horizontal="center"/>
    </xf>
    <xf numFmtId="4" fontId="3" fillId="3" borderId="26" xfId="1" applyNumberFormat="1" applyFont="1" applyFill="1" applyBorder="1" applyAlignment="1">
      <alignment horizontal="center"/>
    </xf>
    <xf numFmtId="4" fontId="3" fillId="3" borderId="27" xfId="1" applyNumberFormat="1" applyFont="1" applyFill="1" applyBorder="1" applyAlignment="1">
      <alignment horizontal="center"/>
    </xf>
    <xf numFmtId="3" fontId="4" fillId="0" borderId="24" xfId="1" applyNumberFormat="1" applyFont="1" applyBorder="1" applyAlignment="1">
      <alignment horizontal="center"/>
    </xf>
    <xf numFmtId="3" fontId="4" fillId="0" borderId="25" xfId="1" applyNumberFormat="1" applyFont="1" applyBorder="1" applyAlignment="1">
      <alignment horizontal="center"/>
    </xf>
    <xf numFmtId="3" fontId="4" fillId="0" borderId="26" xfId="1" applyNumberFormat="1" applyFont="1" applyBorder="1" applyAlignment="1">
      <alignment horizontal="center"/>
    </xf>
    <xf numFmtId="3" fontId="2" fillId="2" borderId="18" xfId="1" applyNumberFormat="1" applyFont="1" applyFill="1" applyBorder="1" applyAlignment="1">
      <alignment horizontal="center"/>
    </xf>
    <xf numFmtId="3" fontId="2" fillId="2" borderId="19" xfId="1" applyNumberFormat="1" applyFont="1" applyFill="1" applyBorder="1" applyAlignment="1">
      <alignment horizontal="center"/>
    </xf>
    <xf numFmtId="3" fontId="2" fillId="2" borderId="20" xfId="1" applyNumberFormat="1" applyFont="1" applyFill="1" applyBorder="1" applyAlignment="1">
      <alignment horizontal="center"/>
    </xf>
    <xf numFmtId="4" fontId="3" fillId="0" borderId="0" xfId="1" applyNumberFormat="1" applyFont="1" applyAlignment="1">
      <alignment horizontal="right"/>
    </xf>
    <xf numFmtId="0" fontId="4" fillId="2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4" fontId="2" fillId="0" borderId="0" xfId="1" applyNumberFormat="1" applyFont="1" applyAlignment="1">
      <alignment horizontal="righ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4" fontId="4" fillId="0" borderId="4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3" fillId="0" borderId="0" xfId="1" applyNumberFormat="1" applyFont="1" applyAlignment="1">
      <alignment horizontal="center"/>
    </xf>
    <xf numFmtId="0" fontId="0" fillId="4" borderId="0" xfId="0" applyFill="1"/>
    <xf numFmtId="0" fontId="10" fillId="4" borderId="0" xfId="0" applyFont="1" applyFill="1" applyAlignment="1">
      <alignment horizontal="left" wrapText="1"/>
    </xf>
    <xf numFmtId="0" fontId="11" fillId="4" borderId="29" xfId="0" applyFont="1" applyFill="1" applyBorder="1" applyAlignment="1">
      <alignment horizontal="left" vertical="center"/>
    </xf>
    <xf numFmtId="14" fontId="11" fillId="4" borderId="29" xfId="0" applyNumberFormat="1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right" vertical="center"/>
    </xf>
    <xf numFmtId="43" fontId="6" fillId="0" borderId="0" xfId="2" applyFont="1" applyAlignment="1">
      <alignment horizontal="center"/>
    </xf>
    <xf numFmtId="0" fontId="4" fillId="0" borderId="0" xfId="1" quotePrefix="1" applyFont="1" applyAlignment="1">
      <alignment horizontal="left"/>
    </xf>
    <xf numFmtId="4" fontId="4" fillId="0" borderId="0" xfId="1" quotePrefix="1" applyNumberFormat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4" fontId="0" fillId="0" borderId="0" xfId="0" applyNumberFormat="1"/>
    <xf numFmtId="14" fontId="0" fillId="0" borderId="0" xfId="0" applyNumberFormat="1"/>
    <xf numFmtId="3" fontId="0" fillId="0" borderId="0" xfId="0" applyNumberFormat="1"/>
    <xf numFmtId="43" fontId="4" fillId="0" borderId="0" xfId="2" applyFont="1" applyAlignment="1">
      <alignment horizontal="center"/>
    </xf>
    <xf numFmtId="4" fontId="4" fillId="5" borderId="1" xfId="1" applyNumberFormat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4" fontId="2" fillId="0" borderId="8" xfId="1" applyNumberFormat="1" applyFont="1" applyBorder="1" applyAlignment="1">
      <alignment horizontal="center"/>
    </xf>
    <xf numFmtId="4" fontId="2" fillId="0" borderId="7" xfId="1" applyNumberFormat="1" applyFont="1" applyBorder="1" applyAlignment="1">
      <alignment horizontal="center"/>
    </xf>
    <xf numFmtId="4" fontId="2" fillId="0" borderId="9" xfId="1" applyNumberFormat="1" applyFont="1" applyBorder="1" applyAlignment="1">
      <alignment horizontal="center"/>
    </xf>
    <xf numFmtId="4" fontId="8" fillId="0" borderId="2" xfId="1" applyNumberFormat="1" applyFont="1" applyBorder="1" applyAlignment="1">
      <alignment horizontal="center"/>
    </xf>
    <xf numFmtId="4" fontId="8" fillId="0" borderId="4" xfId="1" applyNumberFormat="1" applyFont="1" applyBorder="1" applyAlignment="1">
      <alignment horizontal="center"/>
    </xf>
    <xf numFmtId="4" fontId="2" fillId="0" borderId="17" xfId="1" applyNumberFormat="1" applyFont="1" applyBorder="1" applyAlignment="1">
      <alignment horizontal="center"/>
    </xf>
    <xf numFmtId="4" fontId="2" fillId="0" borderId="21" xfId="1" applyNumberFormat="1" applyFont="1" applyBorder="1" applyAlignment="1">
      <alignment horizontal="center"/>
    </xf>
    <xf numFmtId="4" fontId="2" fillId="0" borderId="28" xfId="1" applyNumberFormat="1" applyFont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79CAD411-68F9-464B-AB62-84525AD142BF}"/>
  </cellStyles>
  <dxfs count="0"/>
  <tableStyles count="0" defaultTableStyle="TableStyleMedium2" defaultPivotStyle="PivotStyleLight16"/>
  <colors>
    <mruColors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745C-6835-49D4-BCE0-FF7193B606F7}">
  <dimension ref="A1:Z69"/>
  <sheetViews>
    <sheetView showGridLines="0" tabSelected="1" zoomScaleNormal="100" workbookViewId="0">
      <selection activeCell="Q7" sqref="Q7"/>
    </sheetView>
  </sheetViews>
  <sheetFormatPr baseColWidth="10" defaultColWidth="11.42578125" defaultRowHeight="13.5" x14ac:dyDescent="0.25"/>
  <cols>
    <col min="1" max="1" width="34" style="17" bestFit="1" customWidth="1"/>
    <col min="2" max="2" width="12" style="17" bestFit="1" customWidth="1"/>
    <col min="3" max="3" width="9.42578125" style="18" bestFit="1" customWidth="1"/>
    <col min="4" max="4" width="11.7109375" style="18" bestFit="1" customWidth="1"/>
    <col min="5" max="5" width="8.85546875" style="18" bestFit="1" customWidth="1"/>
    <col min="6" max="10" width="13.5703125" style="18" bestFit="1" customWidth="1"/>
    <col min="11" max="15" width="12.5703125" style="18" customWidth="1"/>
    <col min="16" max="16" width="10.85546875" style="18" bestFit="1" customWidth="1"/>
    <col min="17" max="17" width="17.5703125" style="18" customWidth="1"/>
    <col min="18" max="18" width="13.42578125" style="18" customWidth="1"/>
    <col min="19" max="19" width="9.85546875" style="17" bestFit="1" customWidth="1"/>
    <col min="20" max="20" width="17.5703125" style="17" customWidth="1"/>
    <col min="21" max="23" width="11.42578125" style="17"/>
    <col min="24" max="24" width="29.140625" style="17" bestFit="1" customWidth="1"/>
    <col min="25" max="255" width="11.42578125" style="17"/>
    <col min="256" max="256" width="6.28515625" style="17" bestFit="1" customWidth="1"/>
    <col min="257" max="257" width="9" style="17" bestFit="1" customWidth="1"/>
    <col min="258" max="258" width="7" style="17" bestFit="1" customWidth="1"/>
    <col min="259" max="260" width="6.140625" style="17" bestFit="1" customWidth="1"/>
    <col min="261" max="262" width="7.85546875" style="17" bestFit="1" customWidth="1"/>
    <col min="263" max="263" width="10.28515625" style="17" bestFit="1" customWidth="1"/>
    <col min="264" max="264" width="10" style="17" bestFit="1" customWidth="1"/>
    <col min="265" max="266" width="8.7109375" style="17" bestFit="1" customWidth="1"/>
    <col min="267" max="267" width="7.85546875" style="17" bestFit="1" customWidth="1"/>
    <col min="268" max="268" width="8.7109375" style="17" bestFit="1" customWidth="1"/>
    <col min="269" max="269" width="7.85546875" style="17" bestFit="1" customWidth="1"/>
    <col min="270" max="270" width="8" style="17" bestFit="1" customWidth="1"/>
    <col min="271" max="272" width="8.7109375" style="17" bestFit="1" customWidth="1"/>
    <col min="273" max="273" width="8.28515625" style="17" bestFit="1" customWidth="1"/>
    <col min="274" max="511" width="11.42578125" style="17"/>
    <col min="512" max="512" width="6.28515625" style="17" bestFit="1" customWidth="1"/>
    <col min="513" max="513" width="9" style="17" bestFit="1" customWidth="1"/>
    <col min="514" max="514" width="7" style="17" bestFit="1" customWidth="1"/>
    <col min="515" max="516" width="6.140625" style="17" bestFit="1" customWidth="1"/>
    <col min="517" max="518" width="7.85546875" style="17" bestFit="1" customWidth="1"/>
    <col min="519" max="519" width="10.28515625" style="17" bestFit="1" customWidth="1"/>
    <col min="520" max="520" width="10" style="17" bestFit="1" customWidth="1"/>
    <col min="521" max="522" width="8.7109375" style="17" bestFit="1" customWidth="1"/>
    <col min="523" max="523" width="7.85546875" style="17" bestFit="1" customWidth="1"/>
    <col min="524" max="524" width="8.7109375" style="17" bestFit="1" customWidth="1"/>
    <col min="525" max="525" width="7.85546875" style="17" bestFit="1" customWidth="1"/>
    <col min="526" max="526" width="8" style="17" bestFit="1" customWidth="1"/>
    <col min="527" max="528" width="8.7109375" style="17" bestFit="1" customWidth="1"/>
    <col min="529" max="529" width="8.28515625" style="17" bestFit="1" customWidth="1"/>
    <col min="530" max="767" width="11.42578125" style="17"/>
    <col min="768" max="768" width="6.28515625" style="17" bestFit="1" customWidth="1"/>
    <col min="769" max="769" width="9" style="17" bestFit="1" customWidth="1"/>
    <col min="770" max="770" width="7" style="17" bestFit="1" customWidth="1"/>
    <col min="771" max="772" width="6.140625" style="17" bestFit="1" customWidth="1"/>
    <col min="773" max="774" width="7.85546875" style="17" bestFit="1" customWidth="1"/>
    <col min="775" max="775" width="10.28515625" style="17" bestFit="1" customWidth="1"/>
    <col min="776" max="776" width="10" style="17" bestFit="1" customWidth="1"/>
    <col min="777" max="778" width="8.7109375" style="17" bestFit="1" customWidth="1"/>
    <col min="779" max="779" width="7.85546875" style="17" bestFit="1" customWidth="1"/>
    <col min="780" max="780" width="8.7109375" style="17" bestFit="1" customWidth="1"/>
    <col min="781" max="781" width="7.85546875" style="17" bestFit="1" customWidth="1"/>
    <col min="782" max="782" width="8" style="17" bestFit="1" customWidth="1"/>
    <col min="783" max="784" width="8.7109375" style="17" bestFit="1" customWidth="1"/>
    <col min="785" max="785" width="8.28515625" style="17" bestFit="1" customWidth="1"/>
    <col min="786" max="1023" width="11.42578125" style="17"/>
    <col min="1024" max="1024" width="6.28515625" style="17" bestFit="1" customWidth="1"/>
    <col min="1025" max="1025" width="9" style="17" bestFit="1" customWidth="1"/>
    <col min="1026" max="1026" width="7" style="17" bestFit="1" customWidth="1"/>
    <col min="1027" max="1028" width="6.140625" style="17" bestFit="1" customWidth="1"/>
    <col min="1029" max="1030" width="7.85546875" style="17" bestFit="1" customWidth="1"/>
    <col min="1031" max="1031" width="10.28515625" style="17" bestFit="1" customWidth="1"/>
    <col min="1032" max="1032" width="10" style="17" bestFit="1" customWidth="1"/>
    <col min="1033" max="1034" width="8.7109375" style="17" bestFit="1" customWidth="1"/>
    <col min="1035" max="1035" width="7.85546875" style="17" bestFit="1" customWidth="1"/>
    <col min="1036" max="1036" width="8.7109375" style="17" bestFit="1" customWidth="1"/>
    <col min="1037" max="1037" width="7.85546875" style="17" bestFit="1" customWidth="1"/>
    <col min="1038" max="1038" width="8" style="17" bestFit="1" customWidth="1"/>
    <col min="1039" max="1040" width="8.7109375" style="17" bestFit="1" customWidth="1"/>
    <col min="1041" max="1041" width="8.28515625" style="17" bestFit="1" customWidth="1"/>
    <col min="1042" max="1279" width="11.42578125" style="17"/>
    <col min="1280" max="1280" width="6.28515625" style="17" bestFit="1" customWidth="1"/>
    <col min="1281" max="1281" width="9" style="17" bestFit="1" customWidth="1"/>
    <col min="1282" max="1282" width="7" style="17" bestFit="1" customWidth="1"/>
    <col min="1283" max="1284" width="6.140625" style="17" bestFit="1" customWidth="1"/>
    <col min="1285" max="1286" width="7.85546875" style="17" bestFit="1" customWidth="1"/>
    <col min="1287" max="1287" width="10.28515625" style="17" bestFit="1" customWidth="1"/>
    <col min="1288" max="1288" width="10" style="17" bestFit="1" customWidth="1"/>
    <col min="1289" max="1290" width="8.7109375" style="17" bestFit="1" customWidth="1"/>
    <col min="1291" max="1291" width="7.85546875" style="17" bestFit="1" customWidth="1"/>
    <col min="1292" max="1292" width="8.7109375" style="17" bestFit="1" customWidth="1"/>
    <col min="1293" max="1293" width="7.85546875" style="17" bestFit="1" customWidth="1"/>
    <col min="1294" max="1294" width="8" style="17" bestFit="1" customWidth="1"/>
    <col min="1295" max="1296" width="8.7109375" style="17" bestFit="1" customWidth="1"/>
    <col min="1297" max="1297" width="8.28515625" style="17" bestFit="1" customWidth="1"/>
    <col min="1298" max="1535" width="11.42578125" style="17"/>
    <col min="1536" max="1536" width="6.28515625" style="17" bestFit="1" customWidth="1"/>
    <col min="1537" max="1537" width="9" style="17" bestFit="1" customWidth="1"/>
    <col min="1538" max="1538" width="7" style="17" bestFit="1" customWidth="1"/>
    <col min="1539" max="1540" width="6.140625" style="17" bestFit="1" customWidth="1"/>
    <col min="1541" max="1542" width="7.85546875" style="17" bestFit="1" customWidth="1"/>
    <col min="1543" max="1543" width="10.28515625" style="17" bestFit="1" customWidth="1"/>
    <col min="1544" max="1544" width="10" style="17" bestFit="1" customWidth="1"/>
    <col min="1545" max="1546" width="8.7109375" style="17" bestFit="1" customWidth="1"/>
    <col min="1547" max="1547" width="7.85546875" style="17" bestFit="1" customWidth="1"/>
    <col min="1548" max="1548" width="8.7109375" style="17" bestFit="1" customWidth="1"/>
    <col min="1549" max="1549" width="7.85546875" style="17" bestFit="1" customWidth="1"/>
    <col min="1550" max="1550" width="8" style="17" bestFit="1" customWidth="1"/>
    <col min="1551" max="1552" width="8.7109375" style="17" bestFit="1" customWidth="1"/>
    <col min="1553" max="1553" width="8.28515625" style="17" bestFit="1" customWidth="1"/>
    <col min="1554" max="1791" width="11.42578125" style="17"/>
    <col min="1792" max="1792" width="6.28515625" style="17" bestFit="1" customWidth="1"/>
    <col min="1793" max="1793" width="9" style="17" bestFit="1" customWidth="1"/>
    <col min="1794" max="1794" width="7" style="17" bestFit="1" customWidth="1"/>
    <col min="1795" max="1796" width="6.140625" style="17" bestFit="1" customWidth="1"/>
    <col min="1797" max="1798" width="7.85546875" style="17" bestFit="1" customWidth="1"/>
    <col min="1799" max="1799" width="10.28515625" style="17" bestFit="1" customWidth="1"/>
    <col min="1800" max="1800" width="10" style="17" bestFit="1" customWidth="1"/>
    <col min="1801" max="1802" width="8.7109375" style="17" bestFit="1" customWidth="1"/>
    <col min="1803" max="1803" width="7.85546875" style="17" bestFit="1" customWidth="1"/>
    <col min="1804" max="1804" width="8.7109375" style="17" bestFit="1" customWidth="1"/>
    <col min="1805" max="1805" width="7.85546875" style="17" bestFit="1" customWidth="1"/>
    <col min="1806" max="1806" width="8" style="17" bestFit="1" customWidth="1"/>
    <col min="1807" max="1808" width="8.7109375" style="17" bestFit="1" customWidth="1"/>
    <col min="1809" max="1809" width="8.28515625" style="17" bestFit="1" customWidth="1"/>
    <col min="1810" max="2047" width="11.42578125" style="17"/>
    <col min="2048" max="2048" width="6.28515625" style="17" bestFit="1" customWidth="1"/>
    <col min="2049" max="2049" width="9" style="17" bestFit="1" customWidth="1"/>
    <col min="2050" max="2050" width="7" style="17" bestFit="1" customWidth="1"/>
    <col min="2051" max="2052" width="6.140625" style="17" bestFit="1" customWidth="1"/>
    <col min="2053" max="2054" width="7.85546875" style="17" bestFit="1" customWidth="1"/>
    <col min="2055" max="2055" width="10.28515625" style="17" bestFit="1" customWidth="1"/>
    <col min="2056" max="2056" width="10" style="17" bestFit="1" customWidth="1"/>
    <col min="2057" max="2058" width="8.7109375" style="17" bestFit="1" customWidth="1"/>
    <col min="2059" max="2059" width="7.85546875" style="17" bestFit="1" customWidth="1"/>
    <col min="2060" max="2060" width="8.7109375" style="17" bestFit="1" customWidth="1"/>
    <col min="2061" max="2061" width="7.85546875" style="17" bestFit="1" customWidth="1"/>
    <col min="2062" max="2062" width="8" style="17" bestFit="1" customWidth="1"/>
    <col min="2063" max="2064" width="8.7109375" style="17" bestFit="1" customWidth="1"/>
    <col min="2065" max="2065" width="8.28515625" style="17" bestFit="1" customWidth="1"/>
    <col min="2066" max="2303" width="11.42578125" style="17"/>
    <col min="2304" max="2304" width="6.28515625" style="17" bestFit="1" customWidth="1"/>
    <col min="2305" max="2305" width="9" style="17" bestFit="1" customWidth="1"/>
    <col min="2306" max="2306" width="7" style="17" bestFit="1" customWidth="1"/>
    <col min="2307" max="2308" width="6.140625" style="17" bestFit="1" customWidth="1"/>
    <col min="2309" max="2310" width="7.85546875" style="17" bestFit="1" customWidth="1"/>
    <col min="2311" max="2311" width="10.28515625" style="17" bestFit="1" customWidth="1"/>
    <col min="2312" max="2312" width="10" style="17" bestFit="1" customWidth="1"/>
    <col min="2313" max="2314" width="8.7109375" style="17" bestFit="1" customWidth="1"/>
    <col min="2315" max="2315" width="7.85546875" style="17" bestFit="1" customWidth="1"/>
    <col min="2316" max="2316" width="8.7109375" style="17" bestFit="1" customWidth="1"/>
    <col min="2317" max="2317" width="7.85546875" style="17" bestFit="1" customWidth="1"/>
    <col min="2318" max="2318" width="8" style="17" bestFit="1" customWidth="1"/>
    <col min="2319" max="2320" width="8.7109375" style="17" bestFit="1" customWidth="1"/>
    <col min="2321" max="2321" width="8.28515625" style="17" bestFit="1" customWidth="1"/>
    <col min="2322" max="2559" width="11.42578125" style="17"/>
    <col min="2560" max="2560" width="6.28515625" style="17" bestFit="1" customWidth="1"/>
    <col min="2561" max="2561" width="9" style="17" bestFit="1" customWidth="1"/>
    <col min="2562" max="2562" width="7" style="17" bestFit="1" customWidth="1"/>
    <col min="2563" max="2564" width="6.140625" style="17" bestFit="1" customWidth="1"/>
    <col min="2565" max="2566" width="7.85546875" style="17" bestFit="1" customWidth="1"/>
    <col min="2567" max="2567" width="10.28515625" style="17" bestFit="1" customWidth="1"/>
    <col min="2568" max="2568" width="10" style="17" bestFit="1" customWidth="1"/>
    <col min="2569" max="2570" width="8.7109375" style="17" bestFit="1" customWidth="1"/>
    <col min="2571" max="2571" width="7.85546875" style="17" bestFit="1" customWidth="1"/>
    <col min="2572" max="2572" width="8.7109375" style="17" bestFit="1" customWidth="1"/>
    <col min="2573" max="2573" width="7.85546875" style="17" bestFit="1" customWidth="1"/>
    <col min="2574" max="2574" width="8" style="17" bestFit="1" customWidth="1"/>
    <col min="2575" max="2576" width="8.7109375" style="17" bestFit="1" customWidth="1"/>
    <col min="2577" max="2577" width="8.28515625" style="17" bestFit="1" customWidth="1"/>
    <col min="2578" max="2815" width="11.42578125" style="17"/>
    <col min="2816" max="2816" width="6.28515625" style="17" bestFit="1" customWidth="1"/>
    <col min="2817" max="2817" width="9" style="17" bestFit="1" customWidth="1"/>
    <col min="2818" max="2818" width="7" style="17" bestFit="1" customWidth="1"/>
    <col min="2819" max="2820" width="6.140625" style="17" bestFit="1" customWidth="1"/>
    <col min="2821" max="2822" width="7.85546875" style="17" bestFit="1" customWidth="1"/>
    <col min="2823" max="2823" width="10.28515625" style="17" bestFit="1" customWidth="1"/>
    <col min="2824" max="2824" width="10" style="17" bestFit="1" customWidth="1"/>
    <col min="2825" max="2826" width="8.7109375" style="17" bestFit="1" customWidth="1"/>
    <col min="2827" max="2827" width="7.85546875" style="17" bestFit="1" customWidth="1"/>
    <col min="2828" max="2828" width="8.7109375" style="17" bestFit="1" customWidth="1"/>
    <col min="2829" max="2829" width="7.85546875" style="17" bestFit="1" customWidth="1"/>
    <col min="2830" max="2830" width="8" style="17" bestFit="1" customWidth="1"/>
    <col min="2831" max="2832" width="8.7109375" style="17" bestFit="1" customWidth="1"/>
    <col min="2833" max="2833" width="8.28515625" style="17" bestFit="1" customWidth="1"/>
    <col min="2834" max="3071" width="11.42578125" style="17"/>
    <col min="3072" max="3072" width="6.28515625" style="17" bestFit="1" customWidth="1"/>
    <col min="3073" max="3073" width="9" style="17" bestFit="1" customWidth="1"/>
    <col min="3074" max="3074" width="7" style="17" bestFit="1" customWidth="1"/>
    <col min="3075" max="3076" width="6.140625" style="17" bestFit="1" customWidth="1"/>
    <col min="3077" max="3078" width="7.85546875" style="17" bestFit="1" customWidth="1"/>
    <col min="3079" max="3079" width="10.28515625" style="17" bestFit="1" customWidth="1"/>
    <col min="3080" max="3080" width="10" style="17" bestFit="1" customWidth="1"/>
    <col min="3081" max="3082" width="8.7109375" style="17" bestFit="1" customWidth="1"/>
    <col min="3083" max="3083" width="7.85546875" style="17" bestFit="1" customWidth="1"/>
    <col min="3084" max="3084" width="8.7109375" style="17" bestFit="1" customWidth="1"/>
    <col min="3085" max="3085" width="7.85546875" style="17" bestFit="1" customWidth="1"/>
    <col min="3086" max="3086" width="8" style="17" bestFit="1" customWidth="1"/>
    <col min="3087" max="3088" width="8.7109375" style="17" bestFit="1" customWidth="1"/>
    <col min="3089" max="3089" width="8.28515625" style="17" bestFit="1" customWidth="1"/>
    <col min="3090" max="3327" width="11.42578125" style="17"/>
    <col min="3328" max="3328" width="6.28515625" style="17" bestFit="1" customWidth="1"/>
    <col min="3329" max="3329" width="9" style="17" bestFit="1" customWidth="1"/>
    <col min="3330" max="3330" width="7" style="17" bestFit="1" customWidth="1"/>
    <col min="3331" max="3332" width="6.140625" style="17" bestFit="1" customWidth="1"/>
    <col min="3333" max="3334" width="7.85546875" style="17" bestFit="1" customWidth="1"/>
    <col min="3335" max="3335" width="10.28515625" style="17" bestFit="1" customWidth="1"/>
    <col min="3336" max="3336" width="10" style="17" bestFit="1" customWidth="1"/>
    <col min="3337" max="3338" width="8.7109375" style="17" bestFit="1" customWidth="1"/>
    <col min="3339" max="3339" width="7.85546875" style="17" bestFit="1" customWidth="1"/>
    <col min="3340" max="3340" width="8.7109375" style="17" bestFit="1" customWidth="1"/>
    <col min="3341" max="3341" width="7.85546875" style="17" bestFit="1" customWidth="1"/>
    <col min="3342" max="3342" width="8" style="17" bestFit="1" customWidth="1"/>
    <col min="3343" max="3344" width="8.7109375" style="17" bestFit="1" customWidth="1"/>
    <col min="3345" max="3345" width="8.28515625" style="17" bestFit="1" customWidth="1"/>
    <col min="3346" max="3583" width="11.42578125" style="17"/>
    <col min="3584" max="3584" width="6.28515625" style="17" bestFit="1" customWidth="1"/>
    <col min="3585" max="3585" width="9" style="17" bestFit="1" customWidth="1"/>
    <col min="3586" max="3586" width="7" style="17" bestFit="1" customWidth="1"/>
    <col min="3587" max="3588" width="6.140625" style="17" bestFit="1" customWidth="1"/>
    <col min="3589" max="3590" width="7.85546875" style="17" bestFit="1" customWidth="1"/>
    <col min="3591" max="3591" width="10.28515625" style="17" bestFit="1" customWidth="1"/>
    <col min="3592" max="3592" width="10" style="17" bestFit="1" customWidth="1"/>
    <col min="3593" max="3594" width="8.7109375" style="17" bestFit="1" customWidth="1"/>
    <col min="3595" max="3595" width="7.85546875" style="17" bestFit="1" customWidth="1"/>
    <col min="3596" max="3596" width="8.7109375" style="17" bestFit="1" customWidth="1"/>
    <col min="3597" max="3597" width="7.85546875" style="17" bestFit="1" customWidth="1"/>
    <col min="3598" max="3598" width="8" style="17" bestFit="1" customWidth="1"/>
    <col min="3599" max="3600" width="8.7109375" style="17" bestFit="1" customWidth="1"/>
    <col min="3601" max="3601" width="8.28515625" style="17" bestFit="1" customWidth="1"/>
    <col min="3602" max="3839" width="11.42578125" style="17"/>
    <col min="3840" max="3840" width="6.28515625" style="17" bestFit="1" customWidth="1"/>
    <col min="3841" max="3841" width="9" style="17" bestFit="1" customWidth="1"/>
    <col min="3842" max="3842" width="7" style="17" bestFit="1" customWidth="1"/>
    <col min="3843" max="3844" width="6.140625" style="17" bestFit="1" customWidth="1"/>
    <col min="3845" max="3846" width="7.85546875" style="17" bestFit="1" customWidth="1"/>
    <col min="3847" max="3847" width="10.28515625" style="17" bestFit="1" customWidth="1"/>
    <col min="3848" max="3848" width="10" style="17" bestFit="1" customWidth="1"/>
    <col min="3849" max="3850" width="8.7109375" style="17" bestFit="1" customWidth="1"/>
    <col min="3851" max="3851" width="7.85546875" style="17" bestFit="1" customWidth="1"/>
    <col min="3852" max="3852" width="8.7109375" style="17" bestFit="1" customWidth="1"/>
    <col min="3853" max="3853" width="7.85546875" style="17" bestFit="1" customWidth="1"/>
    <col min="3854" max="3854" width="8" style="17" bestFit="1" customWidth="1"/>
    <col min="3855" max="3856" width="8.7109375" style="17" bestFit="1" customWidth="1"/>
    <col min="3857" max="3857" width="8.28515625" style="17" bestFit="1" customWidth="1"/>
    <col min="3858" max="4095" width="11.42578125" style="17"/>
    <col min="4096" max="4096" width="6.28515625" style="17" bestFit="1" customWidth="1"/>
    <col min="4097" max="4097" width="9" style="17" bestFit="1" customWidth="1"/>
    <col min="4098" max="4098" width="7" style="17" bestFit="1" customWidth="1"/>
    <col min="4099" max="4100" width="6.140625" style="17" bestFit="1" customWidth="1"/>
    <col min="4101" max="4102" width="7.85546875" style="17" bestFit="1" customWidth="1"/>
    <col min="4103" max="4103" width="10.28515625" style="17" bestFit="1" customWidth="1"/>
    <col min="4104" max="4104" width="10" style="17" bestFit="1" customWidth="1"/>
    <col min="4105" max="4106" width="8.7109375" style="17" bestFit="1" customWidth="1"/>
    <col min="4107" max="4107" width="7.85546875" style="17" bestFit="1" customWidth="1"/>
    <col min="4108" max="4108" width="8.7109375" style="17" bestFit="1" customWidth="1"/>
    <col min="4109" max="4109" width="7.85546875" style="17" bestFit="1" customWidth="1"/>
    <col min="4110" max="4110" width="8" style="17" bestFit="1" customWidth="1"/>
    <col min="4111" max="4112" width="8.7109375" style="17" bestFit="1" customWidth="1"/>
    <col min="4113" max="4113" width="8.28515625" style="17" bestFit="1" customWidth="1"/>
    <col min="4114" max="4351" width="11.42578125" style="17"/>
    <col min="4352" max="4352" width="6.28515625" style="17" bestFit="1" customWidth="1"/>
    <col min="4353" max="4353" width="9" style="17" bestFit="1" customWidth="1"/>
    <col min="4354" max="4354" width="7" style="17" bestFit="1" customWidth="1"/>
    <col min="4355" max="4356" width="6.140625" style="17" bestFit="1" customWidth="1"/>
    <col min="4357" max="4358" width="7.85546875" style="17" bestFit="1" customWidth="1"/>
    <col min="4359" max="4359" width="10.28515625" style="17" bestFit="1" customWidth="1"/>
    <col min="4360" max="4360" width="10" style="17" bestFit="1" customWidth="1"/>
    <col min="4361" max="4362" width="8.7109375" style="17" bestFit="1" customWidth="1"/>
    <col min="4363" max="4363" width="7.85546875" style="17" bestFit="1" customWidth="1"/>
    <col min="4364" max="4364" width="8.7109375" style="17" bestFit="1" customWidth="1"/>
    <col min="4365" max="4365" width="7.85546875" style="17" bestFit="1" customWidth="1"/>
    <col min="4366" max="4366" width="8" style="17" bestFit="1" customWidth="1"/>
    <col min="4367" max="4368" width="8.7109375" style="17" bestFit="1" customWidth="1"/>
    <col min="4369" max="4369" width="8.28515625" style="17" bestFit="1" customWidth="1"/>
    <col min="4370" max="4607" width="11.42578125" style="17"/>
    <col min="4608" max="4608" width="6.28515625" style="17" bestFit="1" customWidth="1"/>
    <col min="4609" max="4609" width="9" style="17" bestFit="1" customWidth="1"/>
    <col min="4610" max="4610" width="7" style="17" bestFit="1" customWidth="1"/>
    <col min="4611" max="4612" width="6.140625" style="17" bestFit="1" customWidth="1"/>
    <col min="4613" max="4614" width="7.85546875" style="17" bestFit="1" customWidth="1"/>
    <col min="4615" max="4615" width="10.28515625" style="17" bestFit="1" customWidth="1"/>
    <col min="4616" max="4616" width="10" style="17" bestFit="1" customWidth="1"/>
    <col min="4617" max="4618" width="8.7109375" style="17" bestFit="1" customWidth="1"/>
    <col min="4619" max="4619" width="7.85546875" style="17" bestFit="1" customWidth="1"/>
    <col min="4620" max="4620" width="8.7109375" style="17" bestFit="1" customWidth="1"/>
    <col min="4621" max="4621" width="7.85546875" style="17" bestFit="1" customWidth="1"/>
    <col min="4622" max="4622" width="8" style="17" bestFit="1" customWidth="1"/>
    <col min="4623" max="4624" width="8.7109375" style="17" bestFit="1" customWidth="1"/>
    <col min="4625" max="4625" width="8.28515625" style="17" bestFit="1" customWidth="1"/>
    <col min="4626" max="4863" width="11.42578125" style="17"/>
    <col min="4864" max="4864" width="6.28515625" style="17" bestFit="1" customWidth="1"/>
    <col min="4865" max="4865" width="9" style="17" bestFit="1" customWidth="1"/>
    <col min="4866" max="4866" width="7" style="17" bestFit="1" customWidth="1"/>
    <col min="4867" max="4868" width="6.140625" style="17" bestFit="1" customWidth="1"/>
    <col min="4869" max="4870" width="7.85546875" style="17" bestFit="1" customWidth="1"/>
    <col min="4871" max="4871" width="10.28515625" style="17" bestFit="1" customWidth="1"/>
    <col min="4872" max="4872" width="10" style="17" bestFit="1" customWidth="1"/>
    <col min="4873" max="4874" width="8.7109375" style="17" bestFit="1" customWidth="1"/>
    <col min="4875" max="4875" width="7.85546875" style="17" bestFit="1" customWidth="1"/>
    <col min="4876" max="4876" width="8.7109375" style="17" bestFit="1" customWidth="1"/>
    <col min="4877" max="4877" width="7.85546875" style="17" bestFit="1" customWidth="1"/>
    <col min="4878" max="4878" width="8" style="17" bestFit="1" customWidth="1"/>
    <col min="4879" max="4880" width="8.7109375" style="17" bestFit="1" customWidth="1"/>
    <col min="4881" max="4881" width="8.28515625" style="17" bestFit="1" customWidth="1"/>
    <col min="4882" max="5119" width="11.42578125" style="17"/>
    <col min="5120" max="5120" width="6.28515625" style="17" bestFit="1" customWidth="1"/>
    <col min="5121" max="5121" width="9" style="17" bestFit="1" customWidth="1"/>
    <col min="5122" max="5122" width="7" style="17" bestFit="1" customWidth="1"/>
    <col min="5123" max="5124" width="6.140625" style="17" bestFit="1" customWidth="1"/>
    <col min="5125" max="5126" width="7.85546875" style="17" bestFit="1" customWidth="1"/>
    <col min="5127" max="5127" width="10.28515625" style="17" bestFit="1" customWidth="1"/>
    <col min="5128" max="5128" width="10" style="17" bestFit="1" customWidth="1"/>
    <col min="5129" max="5130" width="8.7109375" style="17" bestFit="1" customWidth="1"/>
    <col min="5131" max="5131" width="7.85546875" style="17" bestFit="1" customWidth="1"/>
    <col min="5132" max="5132" width="8.7109375" style="17" bestFit="1" customWidth="1"/>
    <col min="5133" max="5133" width="7.85546875" style="17" bestFit="1" customWidth="1"/>
    <col min="5134" max="5134" width="8" style="17" bestFit="1" customWidth="1"/>
    <col min="5135" max="5136" width="8.7109375" style="17" bestFit="1" customWidth="1"/>
    <col min="5137" max="5137" width="8.28515625" style="17" bestFit="1" customWidth="1"/>
    <col min="5138" max="5375" width="11.42578125" style="17"/>
    <col min="5376" max="5376" width="6.28515625" style="17" bestFit="1" customWidth="1"/>
    <col min="5377" max="5377" width="9" style="17" bestFit="1" customWidth="1"/>
    <col min="5378" max="5378" width="7" style="17" bestFit="1" customWidth="1"/>
    <col min="5379" max="5380" width="6.140625" style="17" bestFit="1" customWidth="1"/>
    <col min="5381" max="5382" width="7.85546875" style="17" bestFit="1" customWidth="1"/>
    <col min="5383" max="5383" width="10.28515625" style="17" bestFit="1" customWidth="1"/>
    <col min="5384" max="5384" width="10" style="17" bestFit="1" customWidth="1"/>
    <col min="5385" max="5386" width="8.7109375" style="17" bestFit="1" customWidth="1"/>
    <col min="5387" max="5387" width="7.85546875" style="17" bestFit="1" customWidth="1"/>
    <col min="5388" max="5388" width="8.7109375" style="17" bestFit="1" customWidth="1"/>
    <col min="5389" max="5389" width="7.85546875" style="17" bestFit="1" customWidth="1"/>
    <col min="5390" max="5390" width="8" style="17" bestFit="1" customWidth="1"/>
    <col min="5391" max="5392" width="8.7109375" style="17" bestFit="1" customWidth="1"/>
    <col min="5393" max="5393" width="8.28515625" style="17" bestFit="1" customWidth="1"/>
    <col min="5394" max="5631" width="11.42578125" style="17"/>
    <col min="5632" max="5632" width="6.28515625" style="17" bestFit="1" customWidth="1"/>
    <col min="5633" max="5633" width="9" style="17" bestFit="1" customWidth="1"/>
    <col min="5634" max="5634" width="7" style="17" bestFit="1" customWidth="1"/>
    <col min="5635" max="5636" width="6.140625" style="17" bestFit="1" customWidth="1"/>
    <col min="5637" max="5638" width="7.85546875" style="17" bestFit="1" customWidth="1"/>
    <col min="5639" max="5639" width="10.28515625" style="17" bestFit="1" customWidth="1"/>
    <col min="5640" max="5640" width="10" style="17" bestFit="1" customWidth="1"/>
    <col min="5641" max="5642" width="8.7109375" style="17" bestFit="1" customWidth="1"/>
    <col min="5643" max="5643" width="7.85546875" style="17" bestFit="1" customWidth="1"/>
    <col min="5644" max="5644" width="8.7109375" style="17" bestFit="1" customWidth="1"/>
    <col min="5645" max="5645" width="7.85546875" style="17" bestFit="1" customWidth="1"/>
    <col min="5646" max="5646" width="8" style="17" bestFit="1" customWidth="1"/>
    <col min="5647" max="5648" width="8.7109375" style="17" bestFit="1" customWidth="1"/>
    <col min="5649" max="5649" width="8.28515625" style="17" bestFit="1" customWidth="1"/>
    <col min="5650" max="5887" width="11.42578125" style="17"/>
    <col min="5888" max="5888" width="6.28515625" style="17" bestFit="1" customWidth="1"/>
    <col min="5889" max="5889" width="9" style="17" bestFit="1" customWidth="1"/>
    <col min="5890" max="5890" width="7" style="17" bestFit="1" customWidth="1"/>
    <col min="5891" max="5892" width="6.140625" style="17" bestFit="1" customWidth="1"/>
    <col min="5893" max="5894" width="7.85546875" style="17" bestFit="1" customWidth="1"/>
    <col min="5895" max="5895" width="10.28515625" style="17" bestFit="1" customWidth="1"/>
    <col min="5896" max="5896" width="10" style="17" bestFit="1" customWidth="1"/>
    <col min="5897" max="5898" width="8.7109375" style="17" bestFit="1" customWidth="1"/>
    <col min="5899" max="5899" width="7.85546875" style="17" bestFit="1" customWidth="1"/>
    <col min="5900" max="5900" width="8.7109375" style="17" bestFit="1" customWidth="1"/>
    <col min="5901" max="5901" width="7.85546875" style="17" bestFit="1" customWidth="1"/>
    <col min="5902" max="5902" width="8" style="17" bestFit="1" customWidth="1"/>
    <col min="5903" max="5904" width="8.7109375" style="17" bestFit="1" customWidth="1"/>
    <col min="5905" max="5905" width="8.28515625" style="17" bestFit="1" customWidth="1"/>
    <col min="5906" max="6143" width="11.42578125" style="17"/>
    <col min="6144" max="6144" width="6.28515625" style="17" bestFit="1" customWidth="1"/>
    <col min="6145" max="6145" width="9" style="17" bestFit="1" customWidth="1"/>
    <col min="6146" max="6146" width="7" style="17" bestFit="1" customWidth="1"/>
    <col min="6147" max="6148" width="6.140625" style="17" bestFit="1" customWidth="1"/>
    <col min="6149" max="6150" width="7.85546875" style="17" bestFit="1" customWidth="1"/>
    <col min="6151" max="6151" width="10.28515625" style="17" bestFit="1" customWidth="1"/>
    <col min="6152" max="6152" width="10" style="17" bestFit="1" customWidth="1"/>
    <col min="6153" max="6154" width="8.7109375" style="17" bestFit="1" customWidth="1"/>
    <col min="6155" max="6155" width="7.85546875" style="17" bestFit="1" customWidth="1"/>
    <col min="6156" max="6156" width="8.7109375" style="17" bestFit="1" customWidth="1"/>
    <col min="6157" max="6157" width="7.85546875" style="17" bestFit="1" customWidth="1"/>
    <col min="6158" max="6158" width="8" style="17" bestFit="1" customWidth="1"/>
    <col min="6159" max="6160" width="8.7109375" style="17" bestFit="1" customWidth="1"/>
    <col min="6161" max="6161" width="8.28515625" style="17" bestFit="1" customWidth="1"/>
    <col min="6162" max="6399" width="11.42578125" style="17"/>
    <col min="6400" max="6400" width="6.28515625" style="17" bestFit="1" customWidth="1"/>
    <col min="6401" max="6401" width="9" style="17" bestFit="1" customWidth="1"/>
    <col min="6402" max="6402" width="7" style="17" bestFit="1" customWidth="1"/>
    <col min="6403" max="6404" width="6.140625" style="17" bestFit="1" customWidth="1"/>
    <col min="6405" max="6406" width="7.85546875" style="17" bestFit="1" customWidth="1"/>
    <col min="6407" max="6407" width="10.28515625" style="17" bestFit="1" customWidth="1"/>
    <col min="6408" max="6408" width="10" style="17" bestFit="1" customWidth="1"/>
    <col min="6409" max="6410" width="8.7109375" style="17" bestFit="1" customWidth="1"/>
    <col min="6411" max="6411" width="7.85546875" style="17" bestFit="1" customWidth="1"/>
    <col min="6412" max="6412" width="8.7109375" style="17" bestFit="1" customWidth="1"/>
    <col min="6413" max="6413" width="7.85546875" style="17" bestFit="1" customWidth="1"/>
    <col min="6414" max="6414" width="8" style="17" bestFit="1" customWidth="1"/>
    <col min="6415" max="6416" width="8.7109375" style="17" bestFit="1" customWidth="1"/>
    <col min="6417" max="6417" width="8.28515625" style="17" bestFit="1" customWidth="1"/>
    <col min="6418" max="6655" width="11.42578125" style="17"/>
    <col min="6656" max="6656" width="6.28515625" style="17" bestFit="1" customWidth="1"/>
    <col min="6657" max="6657" width="9" style="17" bestFit="1" customWidth="1"/>
    <col min="6658" max="6658" width="7" style="17" bestFit="1" customWidth="1"/>
    <col min="6659" max="6660" width="6.140625" style="17" bestFit="1" customWidth="1"/>
    <col min="6661" max="6662" width="7.85546875" style="17" bestFit="1" customWidth="1"/>
    <col min="6663" max="6663" width="10.28515625" style="17" bestFit="1" customWidth="1"/>
    <col min="6664" max="6664" width="10" style="17" bestFit="1" customWidth="1"/>
    <col min="6665" max="6666" width="8.7109375" style="17" bestFit="1" customWidth="1"/>
    <col min="6667" max="6667" width="7.85546875" style="17" bestFit="1" customWidth="1"/>
    <col min="6668" max="6668" width="8.7109375" style="17" bestFit="1" customWidth="1"/>
    <col min="6669" max="6669" width="7.85546875" style="17" bestFit="1" customWidth="1"/>
    <col min="6670" max="6670" width="8" style="17" bestFit="1" customWidth="1"/>
    <col min="6671" max="6672" width="8.7109375" style="17" bestFit="1" customWidth="1"/>
    <col min="6673" max="6673" width="8.28515625" style="17" bestFit="1" customWidth="1"/>
    <col min="6674" max="6911" width="11.42578125" style="17"/>
    <col min="6912" max="6912" width="6.28515625" style="17" bestFit="1" customWidth="1"/>
    <col min="6913" max="6913" width="9" style="17" bestFit="1" customWidth="1"/>
    <col min="6914" max="6914" width="7" style="17" bestFit="1" customWidth="1"/>
    <col min="6915" max="6916" width="6.140625" style="17" bestFit="1" customWidth="1"/>
    <col min="6917" max="6918" width="7.85546875" style="17" bestFit="1" customWidth="1"/>
    <col min="6919" max="6919" width="10.28515625" style="17" bestFit="1" customWidth="1"/>
    <col min="6920" max="6920" width="10" style="17" bestFit="1" customWidth="1"/>
    <col min="6921" max="6922" width="8.7109375" style="17" bestFit="1" customWidth="1"/>
    <col min="6923" max="6923" width="7.85546875" style="17" bestFit="1" customWidth="1"/>
    <col min="6924" max="6924" width="8.7109375" style="17" bestFit="1" customWidth="1"/>
    <col min="6925" max="6925" width="7.85546875" style="17" bestFit="1" customWidth="1"/>
    <col min="6926" max="6926" width="8" style="17" bestFit="1" customWidth="1"/>
    <col min="6927" max="6928" width="8.7109375" style="17" bestFit="1" customWidth="1"/>
    <col min="6929" max="6929" width="8.28515625" style="17" bestFit="1" customWidth="1"/>
    <col min="6930" max="7167" width="11.42578125" style="17"/>
    <col min="7168" max="7168" width="6.28515625" style="17" bestFit="1" customWidth="1"/>
    <col min="7169" max="7169" width="9" style="17" bestFit="1" customWidth="1"/>
    <col min="7170" max="7170" width="7" style="17" bestFit="1" customWidth="1"/>
    <col min="7171" max="7172" width="6.140625" style="17" bestFit="1" customWidth="1"/>
    <col min="7173" max="7174" width="7.85546875" style="17" bestFit="1" customWidth="1"/>
    <col min="7175" max="7175" width="10.28515625" style="17" bestFit="1" customWidth="1"/>
    <col min="7176" max="7176" width="10" style="17" bestFit="1" customWidth="1"/>
    <col min="7177" max="7178" width="8.7109375" style="17" bestFit="1" customWidth="1"/>
    <col min="7179" max="7179" width="7.85546875" style="17" bestFit="1" customWidth="1"/>
    <col min="7180" max="7180" width="8.7109375" style="17" bestFit="1" customWidth="1"/>
    <col min="7181" max="7181" width="7.85546875" style="17" bestFit="1" customWidth="1"/>
    <col min="7182" max="7182" width="8" style="17" bestFit="1" customWidth="1"/>
    <col min="7183" max="7184" width="8.7109375" style="17" bestFit="1" customWidth="1"/>
    <col min="7185" max="7185" width="8.28515625" style="17" bestFit="1" customWidth="1"/>
    <col min="7186" max="7423" width="11.42578125" style="17"/>
    <col min="7424" max="7424" width="6.28515625" style="17" bestFit="1" customWidth="1"/>
    <col min="7425" max="7425" width="9" style="17" bestFit="1" customWidth="1"/>
    <col min="7426" max="7426" width="7" style="17" bestFit="1" customWidth="1"/>
    <col min="7427" max="7428" width="6.140625" style="17" bestFit="1" customWidth="1"/>
    <col min="7429" max="7430" width="7.85546875" style="17" bestFit="1" customWidth="1"/>
    <col min="7431" max="7431" width="10.28515625" style="17" bestFit="1" customWidth="1"/>
    <col min="7432" max="7432" width="10" style="17" bestFit="1" customWidth="1"/>
    <col min="7433" max="7434" width="8.7109375" style="17" bestFit="1" customWidth="1"/>
    <col min="7435" max="7435" width="7.85546875" style="17" bestFit="1" customWidth="1"/>
    <col min="7436" max="7436" width="8.7109375" style="17" bestFit="1" customWidth="1"/>
    <col min="7437" max="7437" width="7.85546875" style="17" bestFit="1" customWidth="1"/>
    <col min="7438" max="7438" width="8" style="17" bestFit="1" customWidth="1"/>
    <col min="7439" max="7440" width="8.7109375" style="17" bestFit="1" customWidth="1"/>
    <col min="7441" max="7441" width="8.28515625" style="17" bestFit="1" customWidth="1"/>
    <col min="7442" max="7679" width="11.42578125" style="17"/>
    <col min="7680" max="7680" width="6.28515625" style="17" bestFit="1" customWidth="1"/>
    <col min="7681" max="7681" width="9" style="17" bestFit="1" customWidth="1"/>
    <col min="7682" max="7682" width="7" style="17" bestFit="1" customWidth="1"/>
    <col min="7683" max="7684" width="6.140625" style="17" bestFit="1" customWidth="1"/>
    <col min="7685" max="7686" width="7.85546875" style="17" bestFit="1" customWidth="1"/>
    <col min="7687" max="7687" width="10.28515625" style="17" bestFit="1" customWidth="1"/>
    <col min="7688" max="7688" width="10" style="17" bestFit="1" customWidth="1"/>
    <col min="7689" max="7690" width="8.7109375" style="17" bestFit="1" customWidth="1"/>
    <col min="7691" max="7691" width="7.85546875" style="17" bestFit="1" customWidth="1"/>
    <col min="7692" max="7692" width="8.7109375" style="17" bestFit="1" customWidth="1"/>
    <col min="7693" max="7693" width="7.85546875" style="17" bestFit="1" customWidth="1"/>
    <col min="7694" max="7694" width="8" style="17" bestFit="1" customWidth="1"/>
    <col min="7695" max="7696" width="8.7109375" style="17" bestFit="1" customWidth="1"/>
    <col min="7697" max="7697" width="8.28515625" style="17" bestFit="1" customWidth="1"/>
    <col min="7698" max="7935" width="11.42578125" style="17"/>
    <col min="7936" max="7936" width="6.28515625" style="17" bestFit="1" customWidth="1"/>
    <col min="7937" max="7937" width="9" style="17" bestFit="1" customWidth="1"/>
    <col min="7938" max="7938" width="7" style="17" bestFit="1" customWidth="1"/>
    <col min="7939" max="7940" width="6.140625" style="17" bestFit="1" customWidth="1"/>
    <col min="7941" max="7942" width="7.85546875" style="17" bestFit="1" customWidth="1"/>
    <col min="7943" max="7943" width="10.28515625" style="17" bestFit="1" customWidth="1"/>
    <col min="7944" max="7944" width="10" style="17" bestFit="1" customWidth="1"/>
    <col min="7945" max="7946" width="8.7109375" style="17" bestFit="1" customWidth="1"/>
    <col min="7947" max="7947" width="7.85546875" style="17" bestFit="1" customWidth="1"/>
    <col min="7948" max="7948" width="8.7109375" style="17" bestFit="1" customWidth="1"/>
    <col min="7949" max="7949" width="7.85546875" style="17" bestFit="1" customWidth="1"/>
    <col min="7950" max="7950" width="8" style="17" bestFit="1" customWidth="1"/>
    <col min="7951" max="7952" width="8.7109375" style="17" bestFit="1" customWidth="1"/>
    <col min="7953" max="7953" width="8.28515625" style="17" bestFit="1" customWidth="1"/>
    <col min="7954" max="8191" width="11.42578125" style="17"/>
    <col min="8192" max="8192" width="6.28515625" style="17" bestFit="1" customWidth="1"/>
    <col min="8193" max="8193" width="9" style="17" bestFit="1" customWidth="1"/>
    <col min="8194" max="8194" width="7" style="17" bestFit="1" customWidth="1"/>
    <col min="8195" max="8196" width="6.140625" style="17" bestFit="1" customWidth="1"/>
    <col min="8197" max="8198" width="7.85546875" style="17" bestFit="1" customWidth="1"/>
    <col min="8199" max="8199" width="10.28515625" style="17" bestFit="1" customWidth="1"/>
    <col min="8200" max="8200" width="10" style="17" bestFit="1" customWidth="1"/>
    <col min="8201" max="8202" width="8.7109375" style="17" bestFit="1" customWidth="1"/>
    <col min="8203" max="8203" width="7.85546875" style="17" bestFit="1" customWidth="1"/>
    <col min="8204" max="8204" width="8.7109375" style="17" bestFit="1" customWidth="1"/>
    <col min="8205" max="8205" width="7.85546875" style="17" bestFit="1" customWidth="1"/>
    <col min="8206" max="8206" width="8" style="17" bestFit="1" customWidth="1"/>
    <col min="8207" max="8208" width="8.7109375" style="17" bestFit="1" customWidth="1"/>
    <col min="8209" max="8209" width="8.28515625" style="17" bestFit="1" customWidth="1"/>
    <col min="8210" max="8447" width="11.42578125" style="17"/>
    <col min="8448" max="8448" width="6.28515625" style="17" bestFit="1" customWidth="1"/>
    <col min="8449" max="8449" width="9" style="17" bestFit="1" customWidth="1"/>
    <col min="8450" max="8450" width="7" style="17" bestFit="1" customWidth="1"/>
    <col min="8451" max="8452" width="6.140625" style="17" bestFit="1" customWidth="1"/>
    <col min="8453" max="8454" width="7.85546875" style="17" bestFit="1" customWidth="1"/>
    <col min="8455" max="8455" width="10.28515625" style="17" bestFit="1" customWidth="1"/>
    <col min="8456" max="8456" width="10" style="17" bestFit="1" customWidth="1"/>
    <col min="8457" max="8458" width="8.7109375" style="17" bestFit="1" customWidth="1"/>
    <col min="8459" max="8459" width="7.85546875" style="17" bestFit="1" customWidth="1"/>
    <col min="8460" max="8460" width="8.7109375" style="17" bestFit="1" customWidth="1"/>
    <col min="8461" max="8461" width="7.85546875" style="17" bestFit="1" customWidth="1"/>
    <col min="8462" max="8462" width="8" style="17" bestFit="1" customWidth="1"/>
    <col min="8463" max="8464" width="8.7109375" style="17" bestFit="1" customWidth="1"/>
    <col min="8465" max="8465" width="8.28515625" style="17" bestFit="1" customWidth="1"/>
    <col min="8466" max="8703" width="11.42578125" style="17"/>
    <col min="8704" max="8704" width="6.28515625" style="17" bestFit="1" customWidth="1"/>
    <col min="8705" max="8705" width="9" style="17" bestFit="1" customWidth="1"/>
    <col min="8706" max="8706" width="7" style="17" bestFit="1" customWidth="1"/>
    <col min="8707" max="8708" width="6.140625" style="17" bestFit="1" customWidth="1"/>
    <col min="8709" max="8710" width="7.85546875" style="17" bestFit="1" customWidth="1"/>
    <col min="8711" max="8711" width="10.28515625" style="17" bestFit="1" customWidth="1"/>
    <col min="8712" max="8712" width="10" style="17" bestFit="1" customWidth="1"/>
    <col min="8713" max="8714" width="8.7109375" style="17" bestFit="1" customWidth="1"/>
    <col min="8715" max="8715" width="7.85546875" style="17" bestFit="1" customWidth="1"/>
    <col min="8716" max="8716" width="8.7109375" style="17" bestFit="1" customWidth="1"/>
    <col min="8717" max="8717" width="7.85546875" style="17" bestFit="1" customWidth="1"/>
    <col min="8718" max="8718" width="8" style="17" bestFit="1" customWidth="1"/>
    <col min="8719" max="8720" width="8.7109375" style="17" bestFit="1" customWidth="1"/>
    <col min="8721" max="8721" width="8.28515625" style="17" bestFit="1" customWidth="1"/>
    <col min="8722" max="8959" width="11.42578125" style="17"/>
    <col min="8960" max="8960" width="6.28515625" style="17" bestFit="1" customWidth="1"/>
    <col min="8961" max="8961" width="9" style="17" bestFit="1" customWidth="1"/>
    <col min="8962" max="8962" width="7" style="17" bestFit="1" customWidth="1"/>
    <col min="8963" max="8964" width="6.140625" style="17" bestFit="1" customWidth="1"/>
    <col min="8965" max="8966" width="7.85546875" style="17" bestFit="1" customWidth="1"/>
    <col min="8967" max="8967" width="10.28515625" style="17" bestFit="1" customWidth="1"/>
    <col min="8968" max="8968" width="10" style="17" bestFit="1" customWidth="1"/>
    <col min="8969" max="8970" width="8.7109375" style="17" bestFit="1" customWidth="1"/>
    <col min="8971" max="8971" width="7.85546875" style="17" bestFit="1" customWidth="1"/>
    <col min="8972" max="8972" width="8.7109375" style="17" bestFit="1" customWidth="1"/>
    <col min="8973" max="8973" width="7.85546875" style="17" bestFit="1" customWidth="1"/>
    <col min="8974" max="8974" width="8" style="17" bestFit="1" customWidth="1"/>
    <col min="8975" max="8976" width="8.7109375" style="17" bestFit="1" customWidth="1"/>
    <col min="8977" max="8977" width="8.28515625" style="17" bestFit="1" customWidth="1"/>
    <col min="8978" max="9215" width="11.42578125" style="17"/>
    <col min="9216" max="9216" width="6.28515625" style="17" bestFit="1" customWidth="1"/>
    <col min="9217" max="9217" width="9" style="17" bestFit="1" customWidth="1"/>
    <col min="9218" max="9218" width="7" style="17" bestFit="1" customWidth="1"/>
    <col min="9219" max="9220" width="6.140625" style="17" bestFit="1" customWidth="1"/>
    <col min="9221" max="9222" width="7.85546875" style="17" bestFit="1" customWidth="1"/>
    <col min="9223" max="9223" width="10.28515625" style="17" bestFit="1" customWidth="1"/>
    <col min="9224" max="9224" width="10" style="17" bestFit="1" customWidth="1"/>
    <col min="9225" max="9226" width="8.7109375" style="17" bestFit="1" customWidth="1"/>
    <col min="9227" max="9227" width="7.85546875" style="17" bestFit="1" customWidth="1"/>
    <col min="9228" max="9228" width="8.7109375" style="17" bestFit="1" customWidth="1"/>
    <col min="9229" max="9229" width="7.85546875" style="17" bestFit="1" customWidth="1"/>
    <col min="9230" max="9230" width="8" style="17" bestFit="1" customWidth="1"/>
    <col min="9231" max="9232" width="8.7109375" style="17" bestFit="1" customWidth="1"/>
    <col min="9233" max="9233" width="8.28515625" style="17" bestFit="1" customWidth="1"/>
    <col min="9234" max="9471" width="11.42578125" style="17"/>
    <col min="9472" max="9472" width="6.28515625" style="17" bestFit="1" customWidth="1"/>
    <col min="9473" max="9473" width="9" style="17" bestFit="1" customWidth="1"/>
    <col min="9474" max="9474" width="7" style="17" bestFit="1" customWidth="1"/>
    <col min="9475" max="9476" width="6.140625" style="17" bestFit="1" customWidth="1"/>
    <col min="9477" max="9478" width="7.85546875" style="17" bestFit="1" customWidth="1"/>
    <col min="9479" max="9479" width="10.28515625" style="17" bestFit="1" customWidth="1"/>
    <col min="9480" max="9480" width="10" style="17" bestFit="1" customWidth="1"/>
    <col min="9481" max="9482" width="8.7109375" style="17" bestFit="1" customWidth="1"/>
    <col min="9483" max="9483" width="7.85546875" style="17" bestFit="1" customWidth="1"/>
    <col min="9484" max="9484" width="8.7109375" style="17" bestFit="1" customWidth="1"/>
    <col min="9485" max="9485" width="7.85546875" style="17" bestFit="1" customWidth="1"/>
    <col min="9486" max="9486" width="8" style="17" bestFit="1" customWidth="1"/>
    <col min="9487" max="9488" width="8.7109375" style="17" bestFit="1" customWidth="1"/>
    <col min="9489" max="9489" width="8.28515625" style="17" bestFit="1" customWidth="1"/>
    <col min="9490" max="9727" width="11.42578125" style="17"/>
    <col min="9728" max="9728" width="6.28515625" style="17" bestFit="1" customWidth="1"/>
    <col min="9729" max="9729" width="9" style="17" bestFit="1" customWidth="1"/>
    <col min="9730" max="9730" width="7" style="17" bestFit="1" customWidth="1"/>
    <col min="9731" max="9732" width="6.140625" style="17" bestFit="1" customWidth="1"/>
    <col min="9733" max="9734" width="7.85546875" style="17" bestFit="1" customWidth="1"/>
    <col min="9735" max="9735" width="10.28515625" style="17" bestFit="1" customWidth="1"/>
    <col min="9736" max="9736" width="10" style="17" bestFit="1" customWidth="1"/>
    <col min="9737" max="9738" width="8.7109375" style="17" bestFit="1" customWidth="1"/>
    <col min="9739" max="9739" width="7.85546875" style="17" bestFit="1" customWidth="1"/>
    <col min="9740" max="9740" width="8.7109375" style="17" bestFit="1" customWidth="1"/>
    <col min="9741" max="9741" width="7.85546875" style="17" bestFit="1" customWidth="1"/>
    <col min="9742" max="9742" width="8" style="17" bestFit="1" customWidth="1"/>
    <col min="9743" max="9744" width="8.7109375" style="17" bestFit="1" customWidth="1"/>
    <col min="9745" max="9745" width="8.28515625" style="17" bestFit="1" customWidth="1"/>
    <col min="9746" max="9983" width="11.42578125" style="17"/>
    <col min="9984" max="9984" width="6.28515625" style="17" bestFit="1" customWidth="1"/>
    <col min="9985" max="9985" width="9" style="17" bestFit="1" customWidth="1"/>
    <col min="9986" max="9986" width="7" style="17" bestFit="1" customWidth="1"/>
    <col min="9987" max="9988" width="6.140625" style="17" bestFit="1" customWidth="1"/>
    <col min="9989" max="9990" width="7.85546875" style="17" bestFit="1" customWidth="1"/>
    <col min="9991" max="9991" width="10.28515625" style="17" bestFit="1" customWidth="1"/>
    <col min="9992" max="9992" width="10" style="17" bestFit="1" customWidth="1"/>
    <col min="9993" max="9994" width="8.7109375" style="17" bestFit="1" customWidth="1"/>
    <col min="9995" max="9995" width="7.85546875" style="17" bestFit="1" customWidth="1"/>
    <col min="9996" max="9996" width="8.7109375" style="17" bestFit="1" customWidth="1"/>
    <col min="9997" max="9997" width="7.85546875" style="17" bestFit="1" customWidth="1"/>
    <col min="9998" max="9998" width="8" style="17" bestFit="1" customWidth="1"/>
    <col min="9999" max="10000" width="8.7109375" style="17" bestFit="1" customWidth="1"/>
    <col min="10001" max="10001" width="8.28515625" style="17" bestFit="1" customWidth="1"/>
    <col min="10002" max="10239" width="11.42578125" style="17"/>
    <col min="10240" max="10240" width="6.28515625" style="17" bestFit="1" customWidth="1"/>
    <col min="10241" max="10241" width="9" style="17" bestFit="1" customWidth="1"/>
    <col min="10242" max="10242" width="7" style="17" bestFit="1" customWidth="1"/>
    <col min="10243" max="10244" width="6.140625" style="17" bestFit="1" customWidth="1"/>
    <col min="10245" max="10246" width="7.85546875" style="17" bestFit="1" customWidth="1"/>
    <col min="10247" max="10247" width="10.28515625" style="17" bestFit="1" customWidth="1"/>
    <col min="10248" max="10248" width="10" style="17" bestFit="1" customWidth="1"/>
    <col min="10249" max="10250" width="8.7109375" style="17" bestFit="1" customWidth="1"/>
    <col min="10251" max="10251" width="7.85546875" style="17" bestFit="1" customWidth="1"/>
    <col min="10252" max="10252" width="8.7109375" style="17" bestFit="1" customWidth="1"/>
    <col min="10253" max="10253" width="7.85546875" style="17" bestFit="1" customWidth="1"/>
    <col min="10254" max="10254" width="8" style="17" bestFit="1" customWidth="1"/>
    <col min="10255" max="10256" width="8.7109375" style="17" bestFit="1" customWidth="1"/>
    <col min="10257" max="10257" width="8.28515625" style="17" bestFit="1" customWidth="1"/>
    <col min="10258" max="10495" width="11.42578125" style="17"/>
    <col min="10496" max="10496" width="6.28515625" style="17" bestFit="1" customWidth="1"/>
    <col min="10497" max="10497" width="9" style="17" bestFit="1" customWidth="1"/>
    <col min="10498" max="10498" width="7" style="17" bestFit="1" customWidth="1"/>
    <col min="10499" max="10500" width="6.140625" style="17" bestFit="1" customWidth="1"/>
    <col min="10501" max="10502" width="7.85546875" style="17" bestFit="1" customWidth="1"/>
    <col min="10503" max="10503" width="10.28515625" style="17" bestFit="1" customWidth="1"/>
    <col min="10504" max="10504" width="10" style="17" bestFit="1" customWidth="1"/>
    <col min="10505" max="10506" width="8.7109375" style="17" bestFit="1" customWidth="1"/>
    <col min="10507" max="10507" width="7.85546875" style="17" bestFit="1" customWidth="1"/>
    <col min="10508" max="10508" width="8.7109375" style="17" bestFit="1" customWidth="1"/>
    <col min="10509" max="10509" width="7.85546875" style="17" bestFit="1" customWidth="1"/>
    <col min="10510" max="10510" width="8" style="17" bestFit="1" customWidth="1"/>
    <col min="10511" max="10512" width="8.7109375" style="17" bestFit="1" customWidth="1"/>
    <col min="10513" max="10513" width="8.28515625" style="17" bestFit="1" customWidth="1"/>
    <col min="10514" max="10751" width="11.42578125" style="17"/>
    <col min="10752" max="10752" width="6.28515625" style="17" bestFit="1" customWidth="1"/>
    <col min="10753" max="10753" width="9" style="17" bestFit="1" customWidth="1"/>
    <col min="10754" max="10754" width="7" style="17" bestFit="1" customWidth="1"/>
    <col min="10755" max="10756" width="6.140625" style="17" bestFit="1" customWidth="1"/>
    <col min="10757" max="10758" width="7.85546875" style="17" bestFit="1" customWidth="1"/>
    <col min="10759" max="10759" width="10.28515625" style="17" bestFit="1" customWidth="1"/>
    <col min="10760" max="10760" width="10" style="17" bestFit="1" customWidth="1"/>
    <col min="10761" max="10762" width="8.7109375" style="17" bestFit="1" customWidth="1"/>
    <col min="10763" max="10763" width="7.85546875" style="17" bestFit="1" customWidth="1"/>
    <col min="10764" max="10764" width="8.7109375" style="17" bestFit="1" customWidth="1"/>
    <col min="10765" max="10765" width="7.85546875" style="17" bestFit="1" customWidth="1"/>
    <col min="10766" max="10766" width="8" style="17" bestFit="1" customWidth="1"/>
    <col min="10767" max="10768" width="8.7109375" style="17" bestFit="1" customWidth="1"/>
    <col min="10769" max="10769" width="8.28515625" style="17" bestFit="1" customWidth="1"/>
    <col min="10770" max="11007" width="11.42578125" style="17"/>
    <col min="11008" max="11008" width="6.28515625" style="17" bestFit="1" customWidth="1"/>
    <col min="11009" max="11009" width="9" style="17" bestFit="1" customWidth="1"/>
    <col min="11010" max="11010" width="7" style="17" bestFit="1" customWidth="1"/>
    <col min="11011" max="11012" width="6.140625" style="17" bestFit="1" customWidth="1"/>
    <col min="11013" max="11014" width="7.85546875" style="17" bestFit="1" customWidth="1"/>
    <col min="11015" max="11015" width="10.28515625" style="17" bestFit="1" customWidth="1"/>
    <col min="11016" max="11016" width="10" style="17" bestFit="1" customWidth="1"/>
    <col min="11017" max="11018" width="8.7109375" style="17" bestFit="1" customWidth="1"/>
    <col min="11019" max="11019" width="7.85546875" style="17" bestFit="1" customWidth="1"/>
    <col min="11020" max="11020" width="8.7109375" style="17" bestFit="1" customWidth="1"/>
    <col min="11021" max="11021" width="7.85546875" style="17" bestFit="1" customWidth="1"/>
    <col min="11022" max="11022" width="8" style="17" bestFit="1" customWidth="1"/>
    <col min="11023" max="11024" width="8.7109375" style="17" bestFit="1" customWidth="1"/>
    <col min="11025" max="11025" width="8.28515625" style="17" bestFit="1" customWidth="1"/>
    <col min="11026" max="11263" width="11.42578125" style="17"/>
    <col min="11264" max="11264" width="6.28515625" style="17" bestFit="1" customWidth="1"/>
    <col min="11265" max="11265" width="9" style="17" bestFit="1" customWidth="1"/>
    <col min="11266" max="11266" width="7" style="17" bestFit="1" customWidth="1"/>
    <col min="11267" max="11268" width="6.140625" style="17" bestFit="1" customWidth="1"/>
    <col min="11269" max="11270" width="7.85546875" style="17" bestFit="1" customWidth="1"/>
    <col min="11271" max="11271" width="10.28515625" style="17" bestFit="1" customWidth="1"/>
    <col min="11272" max="11272" width="10" style="17" bestFit="1" customWidth="1"/>
    <col min="11273" max="11274" width="8.7109375" style="17" bestFit="1" customWidth="1"/>
    <col min="11275" max="11275" width="7.85546875" style="17" bestFit="1" customWidth="1"/>
    <col min="11276" max="11276" width="8.7109375" style="17" bestFit="1" customWidth="1"/>
    <col min="11277" max="11277" width="7.85546875" style="17" bestFit="1" customWidth="1"/>
    <col min="11278" max="11278" width="8" style="17" bestFit="1" customWidth="1"/>
    <col min="11279" max="11280" width="8.7109375" style="17" bestFit="1" customWidth="1"/>
    <col min="11281" max="11281" width="8.28515625" style="17" bestFit="1" customWidth="1"/>
    <col min="11282" max="11519" width="11.42578125" style="17"/>
    <col min="11520" max="11520" width="6.28515625" style="17" bestFit="1" customWidth="1"/>
    <col min="11521" max="11521" width="9" style="17" bestFit="1" customWidth="1"/>
    <col min="11522" max="11522" width="7" style="17" bestFit="1" customWidth="1"/>
    <col min="11523" max="11524" width="6.140625" style="17" bestFit="1" customWidth="1"/>
    <col min="11525" max="11526" width="7.85546875" style="17" bestFit="1" customWidth="1"/>
    <col min="11527" max="11527" width="10.28515625" style="17" bestFit="1" customWidth="1"/>
    <col min="11528" max="11528" width="10" style="17" bestFit="1" customWidth="1"/>
    <col min="11529" max="11530" width="8.7109375" style="17" bestFit="1" customWidth="1"/>
    <col min="11531" max="11531" width="7.85546875" style="17" bestFit="1" customWidth="1"/>
    <col min="11532" max="11532" width="8.7109375" style="17" bestFit="1" customWidth="1"/>
    <col min="11533" max="11533" width="7.85546875" style="17" bestFit="1" customWidth="1"/>
    <col min="11534" max="11534" width="8" style="17" bestFit="1" customWidth="1"/>
    <col min="11535" max="11536" width="8.7109375" style="17" bestFit="1" customWidth="1"/>
    <col min="11537" max="11537" width="8.28515625" style="17" bestFit="1" customWidth="1"/>
    <col min="11538" max="11775" width="11.42578125" style="17"/>
    <col min="11776" max="11776" width="6.28515625" style="17" bestFit="1" customWidth="1"/>
    <col min="11777" max="11777" width="9" style="17" bestFit="1" customWidth="1"/>
    <col min="11778" max="11778" width="7" style="17" bestFit="1" customWidth="1"/>
    <col min="11779" max="11780" width="6.140625" style="17" bestFit="1" customWidth="1"/>
    <col min="11781" max="11782" width="7.85546875" style="17" bestFit="1" customWidth="1"/>
    <col min="11783" max="11783" width="10.28515625" style="17" bestFit="1" customWidth="1"/>
    <col min="11784" max="11784" width="10" style="17" bestFit="1" customWidth="1"/>
    <col min="11785" max="11786" width="8.7109375" style="17" bestFit="1" customWidth="1"/>
    <col min="11787" max="11787" width="7.85546875" style="17" bestFit="1" customWidth="1"/>
    <col min="11788" max="11788" width="8.7109375" style="17" bestFit="1" customWidth="1"/>
    <col min="11789" max="11789" width="7.85546875" style="17" bestFit="1" customWidth="1"/>
    <col min="11790" max="11790" width="8" style="17" bestFit="1" customWidth="1"/>
    <col min="11791" max="11792" width="8.7109375" style="17" bestFit="1" customWidth="1"/>
    <col min="11793" max="11793" width="8.28515625" style="17" bestFit="1" customWidth="1"/>
    <col min="11794" max="12031" width="11.42578125" style="17"/>
    <col min="12032" max="12032" width="6.28515625" style="17" bestFit="1" customWidth="1"/>
    <col min="12033" max="12033" width="9" style="17" bestFit="1" customWidth="1"/>
    <col min="12034" max="12034" width="7" style="17" bestFit="1" customWidth="1"/>
    <col min="12035" max="12036" width="6.140625" style="17" bestFit="1" customWidth="1"/>
    <col min="12037" max="12038" width="7.85546875" style="17" bestFit="1" customWidth="1"/>
    <col min="12039" max="12039" width="10.28515625" style="17" bestFit="1" customWidth="1"/>
    <col min="12040" max="12040" width="10" style="17" bestFit="1" customWidth="1"/>
    <col min="12041" max="12042" width="8.7109375" style="17" bestFit="1" customWidth="1"/>
    <col min="12043" max="12043" width="7.85546875" style="17" bestFit="1" customWidth="1"/>
    <col min="12044" max="12044" width="8.7109375" style="17" bestFit="1" customWidth="1"/>
    <col min="12045" max="12045" width="7.85546875" style="17" bestFit="1" customWidth="1"/>
    <col min="12046" max="12046" width="8" style="17" bestFit="1" customWidth="1"/>
    <col min="12047" max="12048" width="8.7109375" style="17" bestFit="1" customWidth="1"/>
    <col min="12049" max="12049" width="8.28515625" style="17" bestFit="1" customWidth="1"/>
    <col min="12050" max="12287" width="11.42578125" style="17"/>
    <col min="12288" max="12288" width="6.28515625" style="17" bestFit="1" customWidth="1"/>
    <col min="12289" max="12289" width="9" style="17" bestFit="1" customWidth="1"/>
    <col min="12290" max="12290" width="7" style="17" bestFit="1" customWidth="1"/>
    <col min="12291" max="12292" width="6.140625" style="17" bestFit="1" customWidth="1"/>
    <col min="12293" max="12294" width="7.85546875" style="17" bestFit="1" customWidth="1"/>
    <col min="12295" max="12295" width="10.28515625" style="17" bestFit="1" customWidth="1"/>
    <col min="12296" max="12296" width="10" style="17" bestFit="1" customWidth="1"/>
    <col min="12297" max="12298" width="8.7109375" style="17" bestFit="1" customWidth="1"/>
    <col min="12299" max="12299" width="7.85546875" style="17" bestFit="1" customWidth="1"/>
    <col min="12300" max="12300" width="8.7109375" style="17" bestFit="1" customWidth="1"/>
    <col min="12301" max="12301" width="7.85546875" style="17" bestFit="1" customWidth="1"/>
    <col min="12302" max="12302" width="8" style="17" bestFit="1" customWidth="1"/>
    <col min="12303" max="12304" width="8.7109375" style="17" bestFit="1" customWidth="1"/>
    <col min="12305" max="12305" width="8.28515625" style="17" bestFit="1" customWidth="1"/>
    <col min="12306" max="12543" width="11.42578125" style="17"/>
    <col min="12544" max="12544" width="6.28515625" style="17" bestFit="1" customWidth="1"/>
    <col min="12545" max="12545" width="9" style="17" bestFit="1" customWidth="1"/>
    <col min="12546" max="12546" width="7" style="17" bestFit="1" customWidth="1"/>
    <col min="12547" max="12548" width="6.140625" style="17" bestFit="1" customWidth="1"/>
    <col min="12549" max="12550" width="7.85546875" style="17" bestFit="1" customWidth="1"/>
    <col min="12551" max="12551" width="10.28515625" style="17" bestFit="1" customWidth="1"/>
    <col min="12552" max="12552" width="10" style="17" bestFit="1" customWidth="1"/>
    <col min="12553" max="12554" width="8.7109375" style="17" bestFit="1" customWidth="1"/>
    <col min="12555" max="12555" width="7.85546875" style="17" bestFit="1" customWidth="1"/>
    <col min="12556" max="12556" width="8.7109375" style="17" bestFit="1" customWidth="1"/>
    <col min="12557" max="12557" width="7.85546875" style="17" bestFit="1" customWidth="1"/>
    <col min="12558" max="12558" width="8" style="17" bestFit="1" customWidth="1"/>
    <col min="12559" max="12560" width="8.7109375" style="17" bestFit="1" customWidth="1"/>
    <col min="12561" max="12561" width="8.28515625" style="17" bestFit="1" customWidth="1"/>
    <col min="12562" max="12799" width="11.42578125" style="17"/>
    <col min="12800" max="12800" width="6.28515625" style="17" bestFit="1" customWidth="1"/>
    <col min="12801" max="12801" width="9" style="17" bestFit="1" customWidth="1"/>
    <col min="12802" max="12802" width="7" style="17" bestFit="1" customWidth="1"/>
    <col min="12803" max="12804" width="6.140625" style="17" bestFit="1" customWidth="1"/>
    <col min="12805" max="12806" width="7.85546875" style="17" bestFit="1" customWidth="1"/>
    <col min="12807" max="12807" width="10.28515625" style="17" bestFit="1" customWidth="1"/>
    <col min="12808" max="12808" width="10" style="17" bestFit="1" customWidth="1"/>
    <col min="12809" max="12810" width="8.7109375" style="17" bestFit="1" customWidth="1"/>
    <col min="12811" max="12811" width="7.85546875" style="17" bestFit="1" customWidth="1"/>
    <col min="12812" max="12812" width="8.7109375" style="17" bestFit="1" customWidth="1"/>
    <col min="12813" max="12813" width="7.85546875" style="17" bestFit="1" customWidth="1"/>
    <col min="12814" max="12814" width="8" style="17" bestFit="1" customWidth="1"/>
    <col min="12815" max="12816" width="8.7109375" style="17" bestFit="1" customWidth="1"/>
    <col min="12817" max="12817" width="8.28515625" style="17" bestFit="1" customWidth="1"/>
    <col min="12818" max="13055" width="11.42578125" style="17"/>
    <col min="13056" max="13056" width="6.28515625" style="17" bestFit="1" customWidth="1"/>
    <col min="13057" max="13057" width="9" style="17" bestFit="1" customWidth="1"/>
    <col min="13058" max="13058" width="7" style="17" bestFit="1" customWidth="1"/>
    <col min="13059" max="13060" width="6.140625" style="17" bestFit="1" customWidth="1"/>
    <col min="13061" max="13062" width="7.85546875" style="17" bestFit="1" customWidth="1"/>
    <col min="13063" max="13063" width="10.28515625" style="17" bestFit="1" customWidth="1"/>
    <col min="13064" max="13064" width="10" style="17" bestFit="1" customWidth="1"/>
    <col min="13065" max="13066" width="8.7109375" style="17" bestFit="1" customWidth="1"/>
    <col min="13067" max="13067" width="7.85546875" style="17" bestFit="1" customWidth="1"/>
    <col min="13068" max="13068" width="8.7109375" style="17" bestFit="1" customWidth="1"/>
    <col min="13069" max="13069" width="7.85546875" style="17" bestFit="1" customWidth="1"/>
    <col min="13070" max="13070" width="8" style="17" bestFit="1" customWidth="1"/>
    <col min="13071" max="13072" width="8.7109375" style="17" bestFit="1" customWidth="1"/>
    <col min="13073" max="13073" width="8.28515625" style="17" bestFit="1" customWidth="1"/>
    <col min="13074" max="13311" width="11.42578125" style="17"/>
    <col min="13312" max="13312" width="6.28515625" style="17" bestFit="1" customWidth="1"/>
    <col min="13313" max="13313" width="9" style="17" bestFit="1" customWidth="1"/>
    <col min="13314" max="13314" width="7" style="17" bestFit="1" customWidth="1"/>
    <col min="13315" max="13316" width="6.140625" style="17" bestFit="1" customWidth="1"/>
    <col min="13317" max="13318" width="7.85546875" style="17" bestFit="1" customWidth="1"/>
    <col min="13319" max="13319" width="10.28515625" style="17" bestFit="1" customWidth="1"/>
    <col min="13320" max="13320" width="10" style="17" bestFit="1" customWidth="1"/>
    <col min="13321" max="13322" width="8.7109375" style="17" bestFit="1" customWidth="1"/>
    <col min="13323" max="13323" width="7.85546875" style="17" bestFit="1" customWidth="1"/>
    <col min="13324" max="13324" width="8.7109375" style="17" bestFit="1" customWidth="1"/>
    <col min="13325" max="13325" width="7.85546875" style="17" bestFit="1" customWidth="1"/>
    <col min="13326" max="13326" width="8" style="17" bestFit="1" customWidth="1"/>
    <col min="13327" max="13328" width="8.7109375" style="17" bestFit="1" customWidth="1"/>
    <col min="13329" max="13329" width="8.28515625" style="17" bestFit="1" customWidth="1"/>
    <col min="13330" max="13567" width="11.42578125" style="17"/>
    <col min="13568" max="13568" width="6.28515625" style="17" bestFit="1" customWidth="1"/>
    <col min="13569" max="13569" width="9" style="17" bestFit="1" customWidth="1"/>
    <col min="13570" max="13570" width="7" style="17" bestFit="1" customWidth="1"/>
    <col min="13571" max="13572" width="6.140625" style="17" bestFit="1" customWidth="1"/>
    <col min="13573" max="13574" width="7.85546875" style="17" bestFit="1" customWidth="1"/>
    <col min="13575" max="13575" width="10.28515625" style="17" bestFit="1" customWidth="1"/>
    <col min="13576" max="13576" width="10" style="17" bestFit="1" customWidth="1"/>
    <col min="13577" max="13578" width="8.7109375" style="17" bestFit="1" customWidth="1"/>
    <col min="13579" max="13579" width="7.85546875" style="17" bestFit="1" customWidth="1"/>
    <col min="13580" max="13580" width="8.7109375" style="17" bestFit="1" customWidth="1"/>
    <col min="13581" max="13581" width="7.85546875" style="17" bestFit="1" customWidth="1"/>
    <col min="13582" max="13582" width="8" style="17" bestFit="1" customWidth="1"/>
    <col min="13583" max="13584" width="8.7109375" style="17" bestFit="1" customWidth="1"/>
    <col min="13585" max="13585" width="8.28515625" style="17" bestFit="1" customWidth="1"/>
    <col min="13586" max="13823" width="11.42578125" style="17"/>
    <col min="13824" max="13824" width="6.28515625" style="17" bestFit="1" customWidth="1"/>
    <col min="13825" max="13825" width="9" style="17" bestFit="1" customWidth="1"/>
    <col min="13826" max="13826" width="7" style="17" bestFit="1" customWidth="1"/>
    <col min="13827" max="13828" width="6.140625" style="17" bestFit="1" customWidth="1"/>
    <col min="13829" max="13830" width="7.85546875" style="17" bestFit="1" customWidth="1"/>
    <col min="13831" max="13831" width="10.28515625" style="17" bestFit="1" customWidth="1"/>
    <col min="13832" max="13832" width="10" style="17" bestFit="1" customWidth="1"/>
    <col min="13833" max="13834" width="8.7109375" style="17" bestFit="1" customWidth="1"/>
    <col min="13835" max="13835" width="7.85546875" style="17" bestFit="1" customWidth="1"/>
    <col min="13836" max="13836" width="8.7109375" style="17" bestFit="1" customWidth="1"/>
    <col min="13837" max="13837" width="7.85546875" style="17" bestFit="1" customWidth="1"/>
    <col min="13838" max="13838" width="8" style="17" bestFit="1" customWidth="1"/>
    <col min="13839" max="13840" width="8.7109375" style="17" bestFit="1" customWidth="1"/>
    <col min="13841" max="13841" width="8.28515625" style="17" bestFit="1" customWidth="1"/>
    <col min="13842" max="14079" width="11.42578125" style="17"/>
    <col min="14080" max="14080" width="6.28515625" style="17" bestFit="1" customWidth="1"/>
    <col min="14081" max="14081" width="9" style="17" bestFit="1" customWidth="1"/>
    <col min="14082" max="14082" width="7" style="17" bestFit="1" customWidth="1"/>
    <col min="14083" max="14084" width="6.140625" style="17" bestFit="1" customWidth="1"/>
    <col min="14085" max="14086" width="7.85546875" style="17" bestFit="1" customWidth="1"/>
    <col min="14087" max="14087" width="10.28515625" style="17" bestFit="1" customWidth="1"/>
    <col min="14088" max="14088" width="10" style="17" bestFit="1" customWidth="1"/>
    <col min="14089" max="14090" width="8.7109375" style="17" bestFit="1" customWidth="1"/>
    <col min="14091" max="14091" width="7.85546875" style="17" bestFit="1" customWidth="1"/>
    <col min="14092" max="14092" width="8.7109375" style="17" bestFit="1" customWidth="1"/>
    <col min="14093" max="14093" width="7.85546875" style="17" bestFit="1" customWidth="1"/>
    <col min="14094" max="14094" width="8" style="17" bestFit="1" customWidth="1"/>
    <col min="14095" max="14096" width="8.7109375" style="17" bestFit="1" customWidth="1"/>
    <col min="14097" max="14097" width="8.28515625" style="17" bestFit="1" customWidth="1"/>
    <col min="14098" max="14335" width="11.42578125" style="17"/>
    <col min="14336" max="14336" width="6.28515625" style="17" bestFit="1" customWidth="1"/>
    <col min="14337" max="14337" width="9" style="17" bestFit="1" customWidth="1"/>
    <col min="14338" max="14338" width="7" style="17" bestFit="1" customWidth="1"/>
    <col min="14339" max="14340" width="6.140625" style="17" bestFit="1" customWidth="1"/>
    <col min="14341" max="14342" width="7.85546875" style="17" bestFit="1" customWidth="1"/>
    <col min="14343" max="14343" width="10.28515625" style="17" bestFit="1" customWidth="1"/>
    <col min="14344" max="14344" width="10" style="17" bestFit="1" customWidth="1"/>
    <col min="14345" max="14346" width="8.7109375" style="17" bestFit="1" customWidth="1"/>
    <col min="14347" max="14347" width="7.85546875" style="17" bestFit="1" customWidth="1"/>
    <col min="14348" max="14348" width="8.7109375" style="17" bestFit="1" customWidth="1"/>
    <col min="14349" max="14349" width="7.85546875" style="17" bestFit="1" customWidth="1"/>
    <col min="14350" max="14350" width="8" style="17" bestFit="1" customWidth="1"/>
    <col min="14351" max="14352" width="8.7109375" style="17" bestFit="1" customWidth="1"/>
    <col min="14353" max="14353" width="8.28515625" style="17" bestFit="1" customWidth="1"/>
    <col min="14354" max="14591" width="11.42578125" style="17"/>
    <col min="14592" max="14592" width="6.28515625" style="17" bestFit="1" customWidth="1"/>
    <col min="14593" max="14593" width="9" style="17" bestFit="1" customWidth="1"/>
    <col min="14594" max="14594" width="7" style="17" bestFit="1" customWidth="1"/>
    <col min="14595" max="14596" width="6.140625" style="17" bestFit="1" customWidth="1"/>
    <col min="14597" max="14598" width="7.85546875" style="17" bestFit="1" customWidth="1"/>
    <col min="14599" max="14599" width="10.28515625" style="17" bestFit="1" customWidth="1"/>
    <col min="14600" max="14600" width="10" style="17" bestFit="1" customWidth="1"/>
    <col min="14601" max="14602" width="8.7109375" style="17" bestFit="1" customWidth="1"/>
    <col min="14603" max="14603" width="7.85546875" style="17" bestFit="1" customWidth="1"/>
    <col min="14604" max="14604" width="8.7109375" style="17" bestFit="1" customWidth="1"/>
    <col min="14605" max="14605" width="7.85546875" style="17" bestFit="1" customWidth="1"/>
    <col min="14606" max="14606" width="8" style="17" bestFit="1" customWidth="1"/>
    <col min="14607" max="14608" width="8.7109375" style="17" bestFit="1" customWidth="1"/>
    <col min="14609" max="14609" width="8.28515625" style="17" bestFit="1" customWidth="1"/>
    <col min="14610" max="14847" width="11.42578125" style="17"/>
    <col min="14848" max="14848" width="6.28515625" style="17" bestFit="1" customWidth="1"/>
    <col min="14849" max="14849" width="9" style="17" bestFit="1" customWidth="1"/>
    <col min="14850" max="14850" width="7" style="17" bestFit="1" customWidth="1"/>
    <col min="14851" max="14852" width="6.140625" style="17" bestFit="1" customWidth="1"/>
    <col min="14853" max="14854" width="7.85546875" style="17" bestFit="1" customWidth="1"/>
    <col min="14855" max="14855" width="10.28515625" style="17" bestFit="1" customWidth="1"/>
    <col min="14856" max="14856" width="10" style="17" bestFit="1" customWidth="1"/>
    <col min="14857" max="14858" width="8.7109375" style="17" bestFit="1" customWidth="1"/>
    <col min="14859" max="14859" width="7.85546875" style="17" bestFit="1" customWidth="1"/>
    <col min="14860" max="14860" width="8.7109375" style="17" bestFit="1" customWidth="1"/>
    <col min="14861" max="14861" width="7.85546875" style="17" bestFit="1" customWidth="1"/>
    <col min="14862" max="14862" width="8" style="17" bestFit="1" customWidth="1"/>
    <col min="14863" max="14864" width="8.7109375" style="17" bestFit="1" customWidth="1"/>
    <col min="14865" max="14865" width="8.28515625" style="17" bestFit="1" customWidth="1"/>
    <col min="14866" max="15103" width="11.42578125" style="17"/>
    <col min="15104" max="15104" width="6.28515625" style="17" bestFit="1" customWidth="1"/>
    <col min="15105" max="15105" width="9" style="17" bestFit="1" customWidth="1"/>
    <col min="15106" max="15106" width="7" style="17" bestFit="1" customWidth="1"/>
    <col min="15107" max="15108" width="6.140625" style="17" bestFit="1" customWidth="1"/>
    <col min="15109" max="15110" width="7.85546875" style="17" bestFit="1" customWidth="1"/>
    <col min="15111" max="15111" width="10.28515625" style="17" bestFit="1" customWidth="1"/>
    <col min="15112" max="15112" width="10" style="17" bestFit="1" customWidth="1"/>
    <col min="15113" max="15114" width="8.7109375" style="17" bestFit="1" customWidth="1"/>
    <col min="15115" max="15115" width="7.85546875" style="17" bestFit="1" customWidth="1"/>
    <col min="15116" max="15116" width="8.7109375" style="17" bestFit="1" customWidth="1"/>
    <col min="15117" max="15117" width="7.85546875" style="17" bestFit="1" customWidth="1"/>
    <col min="15118" max="15118" width="8" style="17" bestFit="1" customWidth="1"/>
    <col min="15119" max="15120" width="8.7109375" style="17" bestFit="1" customWidth="1"/>
    <col min="15121" max="15121" width="8.28515625" style="17" bestFit="1" customWidth="1"/>
    <col min="15122" max="15359" width="11.42578125" style="17"/>
    <col min="15360" max="15360" width="6.28515625" style="17" bestFit="1" customWidth="1"/>
    <col min="15361" max="15361" width="9" style="17" bestFit="1" customWidth="1"/>
    <col min="15362" max="15362" width="7" style="17" bestFit="1" customWidth="1"/>
    <col min="15363" max="15364" width="6.140625" style="17" bestFit="1" customWidth="1"/>
    <col min="15365" max="15366" width="7.85546875" style="17" bestFit="1" customWidth="1"/>
    <col min="15367" max="15367" width="10.28515625" style="17" bestFit="1" customWidth="1"/>
    <col min="15368" max="15368" width="10" style="17" bestFit="1" customWidth="1"/>
    <col min="15369" max="15370" width="8.7109375" style="17" bestFit="1" customWidth="1"/>
    <col min="15371" max="15371" width="7.85546875" style="17" bestFit="1" customWidth="1"/>
    <col min="15372" max="15372" width="8.7109375" style="17" bestFit="1" customWidth="1"/>
    <col min="15373" max="15373" width="7.85546875" style="17" bestFit="1" customWidth="1"/>
    <col min="15374" max="15374" width="8" style="17" bestFit="1" customWidth="1"/>
    <col min="15375" max="15376" width="8.7109375" style="17" bestFit="1" customWidth="1"/>
    <col min="15377" max="15377" width="8.28515625" style="17" bestFit="1" customWidth="1"/>
    <col min="15378" max="15615" width="11.42578125" style="17"/>
    <col min="15616" max="15616" width="6.28515625" style="17" bestFit="1" customWidth="1"/>
    <col min="15617" max="15617" width="9" style="17" bestFit="1" customWidth="1"/>
    <col min="15618" max="15618" width="7" style="17" bestFit="1" customWidth="1"/>
    <col min="15619" max="15620" width="6.140625" style="17" bestFit="1" customWidth="1"/>
    <col min="15621" max="15622" width="7.85546875" style="17" bestFit="1" customWidth="1"/>
    <col min="15623" max="15623" width="10.28515625" style="17" bestFit="1" customWidth="1"/>
    <col min="15624" max="15624" width="10" style="17" bestFit="1" customWidth="1"/>
    <col min="15625" max="15626" width="8.7109375" style="17" bestFit="1" customWidth="1"/>
    <col min="15627" max="15627" width="7.85546875" style="17" bestFit="1" customWidth="1"/>
    <col min="15628" max="15628" width="8.7109375" style="17" bestFit="1" customWidth="1"/>
    <col min="15629" max="15629" width="7.85546875" style="17" bestFit="1" customWidth="1"/>
    <col min="15630" max="15630" width="8" style="17" bestFit="1" customWidth="1"/>
    <col min="15631" max="15632" width="8.7109375" style="17" bestFit="1" customWidth="1"/>
    <col min="15633" max="15633" width="8.28515625" style="17" bestFit="1" customWidth="1"/>
    <col min="15634" max="15871" width="11.42578125" style="17"/>
    <col min="15872" max="15872" width="6.28515625" style="17" bestFit="1" customWidth="1"/>
    <col min="15873" max="15873" width="9" style="17" bestFit="1" customWidth="1"/>
    <col min="15874" max="15874" width="7" style="17" bestFit="1" customWidth="1"/>
    <col min="15875" max="15876" width="6.140625" style="17" bestFit="1" customWidth="1"/>
    <col min="15877" max="15878" width="7.85546875" style="17" bestFit="1" customWidth="1"/>
    <col min="15879" max="15879" width="10.28515625" style="17" bestFit="1" customWidth="1"/>
    <col min="15880" max="15880" width="10" style="17" bestFit="1" customWidth="1"/>
    <col min="15881" max="15882" width="8.7109375" style="17" bestFit="1" customWidth="1"/>
    <col min="15883" max="15883" width="7.85546875" style="17" bestFit="1" customWidth="1"/>
    <col min="15884" max="15884" width="8.7109375" style="17" bestFit="1" customWidth="1"/>
    <col min="15885" max="15885" width="7.85546875" style="17" bestFit="1" customWidth="1"/>
    <col min="15886" max="15886" width="8" style="17" bestFit="1" customWidth="1"/>
    <col min="15887" max="15888" width="8.7109375" style="17" bestFit="1" customWidth="1"/>
    <col min="15889" max="15889" width="8.28515625" style="17" bestFit="1" customWidth="1"/>
    <col min="15890" max="16127" width="11.42578125" style="17"/>
    <col min="16128" max="16128" width="6.28515625" style="17" bestFit="1" customWidth="1"/>
    <col min="16129" max="16129" width="9" style="17" bestFit="1" customWidth="1"/>
    <col min="16130" max="16130" width="7" style="17" bestFit="1" customWidth="1"/>
    <col min="16131" max="16132" width="6.140625" style="17" bestFit="1" customWidth="1"/>
    <col min="16133" max="16134" width="7.85546875" style="17" bestFit="1" customWidth="1"/>
    <col min="16135" max="16135" width="10.28515625" style="17" bestFit="1" customWidth="1"/>
    <col min="16136" max="16136" width="10" style="17" bestFit="1" customWidth="1"/>
    <col min="16137" max="16138" width="8.7109375" style="17" bestFit="1" customWidth="1"/>
    <col min="16139" max="16139" width="7.85546875" style="17" bestFit="1" customWidth="1"/>
    <col min="16140" max="16140" width="8.7109375" style="17" bestFit="1" customWidth="1"/>
    <col min="16141" max="16141" width="7.85546875" style="17" bestFit="1" customWidth="1"/>
    <col min="16142" max="16142" width="8" style="17" bestFit="1" customWidth="1"/>
    <col min="16143" max="16144" width="8.7109375" style="17" bestFit="1" customWidth="1"/>
    <col min="16145" max="16145" width="8.28515625" style="17" bestFit="1" customWidth="1"/>
    <col min="16146" max="16384" width="11.42578125" style="17"/>
  </cols>
  <sheetData>
    <row r="1" spans="1:26" x14ac:dyDescent="0.25">
      <c r="A1" s="15" t="s">
        <v>35</v>
      </c>
      <c r="C1" s="16" t="s">
        <v>80</v>
      </c>
    </row>
    <row r="2" spans="1:26" x14ac:dyDescent="0.25">
      <c r="A2" s="15" t="s">
        <v>29</v>
      </c>
      <c r="C2" s="15">
        <v>311</v>
      </c>
    </row>
    <row r="3" spans="1:26" x14ac:dyDescent="0.25">
      <c r="A3" s="14" t="s">
        <v>30</v>
      </c>
      <c r="C3" s="20">
        <v>46204</v>
      </c>
      <c r="D3" s="50" t="s">
        <v>36</v>
      </c>
      <c r="E3" s="16"/>
    </row>
    <row r="4" spans="1:26" x14ac:dyDescent="0.25">
      <c r="A4" s="14" t="s">
        <v>31</v>
      </c>
      <c r="C4" s="20">
        <v>46214</v>
      </c>
      <c r="D4" s="50" t="s">
        <v>37</v>
      </c>
      <c r="E4" s="16"/>
    </row>
    <row r="5" spans="1:26" x14ac:dyDescent="0.25">
      <c r="A5" s="14"/>
      <c r="C5" s="20" t="s">
        <v>2</v>
      </c>
      <c r="D5" s="15" t="s">
        <v>39</v>
      </c>
      <c r="E5" s="15" t="s">
        <v>40</v>
      </c>
    </row>
    <row r="6" spans="1:26" x14ac:dyDescent="0.25">
      <c r="A6" s="14" t="s">
        <v>32</v>
      </c>
      <c r="C6" s="21">
        <f>+C4-C3-1</f>
        <v>9</v>
      </c>
      <c r="D6" s="5" t="s">
        <v>38</v>
      </c>
      <c r="E6" s="5">
        <v>9</v>
      </c>
    </row>
    <row r="7" spans="1:26" x14ac:dyDescent="0.25">
      <c r="A7" s="14" t="s">
        <v>33</v>
      </c>
      <c r="C7" s="21">
        <v>2</v>
      </c>
      <c r="D7" s="5" t="s">
        <v>81</v>
      </c>
      <c r="E7" s="5">
        <v>2</v>
      </c>
    </row>
    <row r="8" spans="1:26" x14ac:dyDescent="0.25">
      <c r="A8" s="14" t="s">
        <v>34</v>
      </c>
      <c r="C8" s="21">
        <v>1</v>
      </c>
      <c r="D8" s="38" t="s">
        <v>38</v>
      </c>
      <c r="E8" s="91">
        <v>1</v>
      </c>
    </row>
    <row r="9" spans="1:26" x14ac:dyDescent="0.25">
      <c r="A9" s="14" t="s">
        <v>21</v>
      </c>
      <c r="C9" s="1">
        <v>1460</v>
      </c>
      <c r="D9" s="22"/>
      <c r="E9" s="1"/>
      <c r="F9" s="22"/>
    </row>
    <row r="10" spans="1:26" x14ac:dyDescent="0.25">
      <c r="A10" s="14" t="s">
        <v>42</v>
      </c>
      <c r="C10" s="51">
        <v>0.3</v>
      </c>
      <c r="D10" s="22"/>
      <c r="E10" s="1"/>
      <c r="F10" s="22"/>
    </row>
    <row r="11" spans="1:26" x14ac:dyDescent="0.25">
      <c r="A11" s="14" t="s">
        <v>41</v>
      </c>
      <c r="C11" s="51">
        <v>0.7</v>
      </c>
      <c r="D11" s="22"/>
      <c r="E11" s="1"/>
      <c r="F11" s="22"/>
    </row>
    <row r="12" spans="1:26" ht="14.25" thickBot="1" x14ac:dyDescent="0.3"/>
    <row r="13" spans="1:26" ht="14.25" thickBot="1" x14ac:dyDescent="0.3">
      <c r="C13" s="107" t="s">
        <v>26</v>
      </c>
      <c r="D13" s="108"/>
      <c r="E13" s="108"/>
      <c r="F13" s="108"/>
      <c r="G13" s="108"/>
      <c r="H13" s="109"/>
      <c r="J13" s="107" t="s">
        <v>27</v>
      </c>
      <c r="K13" s="108"/>
      <c r="L13" s="108"/>
      <c r="M13" s="108"/>
      <c r="N13" s="108"/>
      <c r="O13" s="109"/>
      <c r="P13" s="112" t="s">
        <v>44</v>
      </c>
      <c r="Q13" s="113"/>
      <c r="R13" s="113"/>
      <c r="S13" s="113"/>
      <c r="T13" s="114"/>
      <c r="U13" s="18"/>
    </row>
    <row r="14" spans="1:26" s="15" customFormat="1" ht="14.25" thickBot="1" x14ac:dyDescent="0.3">
      <c r="A14" s="63" t="s">
        <v>5</v>
      </c>
      <c r="B14" s="63" t="s">
        <v>6</v>
      </c>
      <c r="C14" s="64" t="s">
        <v>7</v>
      </c>
      <c r="D14" s="65" t="s">
        <v>8</v>
      </c>
      <c r="E14" s="65" t="s">
        <v>9</v>
      </c>
      <c r="F14" s="65" t="s">
        <v>24</v>
      </c>
      <c r="G14" s="65" t="s">
        <v>10</v>
      </c>
      <c r="H14" s="66" t="s">
        <v>25</v>
      </c>
      <c r="I14" s="67" t="s">
        <v>1</v>
      </c>
      <c r="J14" s="64" t="s">
        <v>7</v>
      </c>
      <c r="K14" s="65" t="s">
        <v>8</v>
      </c>
      <c r="L14" s="65" t="s">
        <v>9</v>
      </c>
      <c r="M14" s="65" t="s">
        <v>24</v>
      </c>
      <c r="N14" s="65" t="s">
        <v>10</v>
      </c>
      <c r="O14" s="66" t="s">
        <v>25</v>
      </c>
      <c r="P14" s="68">
        <v>2.1999999999999999E-2</v>
      </c>
      <c r="Q14" s="69">
        <v>1.7999999999999999E-2</v>
      </c>
      <c r="R14" s="68">
        <v>0.01</v>
      </c>
      <c r="S14" s="69">
        <v>8.9999999999999993E-3</v>
      </c>
      <c r="T14" s="70">
        <v>8.5000000000000006E-3</v>
      </c>
      <c r="U14" s="16"/>
    </row>
    <row r="15" spans="1:26" x14ac:dyDescent="0.25">
      <c r="A15" s="54" t="s">
        <v>14</v>
      </c>
      <c r="B15" s="55">
        <v>35676</v>
      </c>
      <c r="C15" s="56">
        <v>118.45</v>
      </c>
      <c r="D15" s="57">
        <v>103</v>
      </c>
      <c r="E15" s="57">
        <v>87.55</v>
      </c>
      <c r="F15" s="57">
        <v>194.89</v>
      </c>
      <c r="G15" s="57">
        <v>150.13687500000003</v>
      </c>
      <c r="H15" s="58">
        <v>90.08</v>
      </c>
      <c r="I15" s="59">
        <f>0.82*5800</f>
        <v>4756</v>
      </c>
      <c r="J15" s="60">
        <f>+$B15*C15/1000*$C$9</f>
        <v>6169700.4120000005</v>
      </c>
      <c r="K15" s="61">
        <f t="shared" ref="K15:O18" si="0">+$B15*D15/1000*$C$9</f>
        <v>5364956.88</v>
      </c>
      <c r="L15" s="61">
        <f t="shared" si="0"/>
        <v>4560213.3479999993</v>
      </c>
      <c r="M15" s="61">
        <f t="shared" si="0"/>
        <v>10151227.634399999</v>
      </c>
      <c r="N15" s="61">
        <f t="shared" si="0"/>
        <v>7820173.4026500015</v>
      </c>
      <c r="O15" s="62">
        <f t="shared" si="0"/>
        <v>4691993.3568000002</v>
      </c>
      <c r="P15" s="60">
        <f t="shared" ref="P15:T19" si="1">($B15/1000*$I15*$C$9*P$14)*0.9</f>
        <v>4904966.5188480001</v>
      </c>
      <c r="Q15" s="61">
        <f t="shared" si="1"/>
        <v>4013154.4245120003</v>
      </c>
      <c r="R15" s="60">
        <f t="shared" si="1"/>
        <v>2229530.2358400002</v>
      </c>
      <c r="S15" s="61">
        <f t="shared" si="1"/>
        <v>2006577.2122560001</v>
      </c>
      <c r="T15" s="62">
        <f t="shared" si="1"/>
        <v>1895100.7004640005</v>
      </c>
      <c r="U15" s="18"/>
      <c r="V15" s="18"/>
      <c r="W15" s="18"/>
      <c r="X15" s="18"/>
      <c r="Y15" s="18"/>
      <c r="Z15" s="18"/>
    </row>
    <row r="16" spans="1:26" x14ac:dyDescent="0.25">
      <c r="A16" s="52" t="s">
        <v>15</v>
      </c>
      <c r="B16" s="53">
        <v>34392</v>
      </c>
      <c r="C16" s="23">
        <v>87.92</v>
      </c>
      <c r="D16" s="24">
        <v>76.45</v>
      </c>
      <c r="E16" s="24">
        <v>64.98</v>
      </c>
      <c r="F16" s="24">
        <v>169.75</v>
      </c>
      <c r="G16" s="24">
        <v>130.76437500000003</v>
      </c>
      <c r="H16" s="25">
        <v>78.459999999999994</v>
      </c>
      <c r="I16" s="26">
        <f>0.82*5500</f>
        <v>4510</v>
      </c>
      <c r="J16" s="27">
        <f>+$B16*C16/1000*$C$9</f>
        <v>4414667.1744000008</v>
      </c>
      <c r="K16" s="28">
        <f t="shared" si="0"/>
        <v>3838731.8640000001</v>
      </c>
      <c r="L16" s="28">
        <f t="shared" si="0"/>
        <v>3262796.5535999998</v>
      </c>
      <c r="M16" s="28">
        <f t="shared" si="0"/>
        <v>8523541.3200000003</v>
      </c>
      <c r="N16" s="28">
        <f t="shared" si="0"/>
        <v>6565982.6421000008</v>
      </c>
      <c r="O16" s="29">
        <f t="shared" si="0"/>
        <v>3939658.6272</v>
      </c>
      <c r="P16" s="27">
        <f t="shared" si="1"/>
        <v>4483859.7513600001</v>
      </c>
      <c r="Q16" s="28">
        <f t="shared" si="1"/>
        <v>3668612.5238399999</v>
      </c>
      <c r="R16" s="27">
        <f t="shared" si="1"/>
        <v>2038118.0688000002</v>
      </c>
      <c r="S16" s="28">
        <f t="shared" si="1"/>
        <v>1834306.26192</v>
      </c>
      <c r="T16" s="29">
        <f t="shared" si="1"/>
        <v>1732400.3584800004</v>
      </c>
      <c r="U16" s="18"/>
      <c r="V16" s="18"/>
      <c r="W16" s="18"/>
      <c r="X16" s="18"/>
      <c r="Y16" s="18"/>
      <c r="Z16" s="18"/>
    </row>
    <row r="17" spans="1:26" x14ac:dyDescent="0.25">
      <c r="A17" s="52" t="s">
        <v>16</v>
      </c>
      <c r="B17" s="53">
        <v>0</v>
      </c>
      <c r="C17" s="23">
        <v>71.44</v>
      </c>
      <c r="D17" s="24">
        <v>62.12</v>
      </c>
      <c r="E17" s="24">
        <v>52.8</v>
      </c>
      <c r="F17" s="24">
        <v>144.6</v>
      </c>
      <c r="G17" s="24">
        <v>111.39187500000001</v>
      </c>
      <c r="H17" s="25">
        <v>66.84</v>
      </c>
      <c r="I17" s="26">
        <f>0.82*4500</f>
        <v>3690</v>
      </c>
      <c r="J17" s="27">
        <f>+$B17*C17/1000*$C$9</f>
        <v>0</v>
      </c>
      <c r="K17" s="28">
        <f t="shared" si="0"/>
        <v>0</v>
      </c>
      <c r="L17" s="28">
        <f t="shared" si="0"/>
        <v>0</v>
      </c>
      <c r="M17" s="28">
        <f t="shared" si="0"/>
        <v>0</v>
      </c>
      <c r="N17" s="28">
        <f t="shared" si="0"/>
        <v>0</v>
      </c>
      <c r="O17" s="29">
        <f t="shared" si="0"/>
        <v>0</v>
      </c>
      <c r="P17" s="27">
        <f t="shared" si="1"/>
        <v>0</v>
      </c>
      <c r="Q17" s="28">
        <f t="shared" si="1"/>
        <v>0</v>
      </c>
      <c r="R17" s="27">
        <f t="shared" si="1"/>
        <v>0</v>
      </c>
      <c r="S17" s="28">
        <f t="shared" si="1"/>
        <v>0</v>
      </c>
      <c r="T17" s="29">
        <f t="shared" si="1"/>
        <v>0</v>
      </c>
      <c r="U17" s="18"/>
      <c r="V17" s="18"/>
      <c r="W17" s="18"/>
      <c r="X17" s="18"/>
      <c r="Y17" s="18"/>
      <c r="Z17" s="18"/>
    </row>
    <row r="18" spans="1:26" x14ac:dyDescent="0.25">
      <c r="A18" s="52" t="s">
        <v>4</v>
      </c>
      <c r="B18" s="53">
        <v>21996</v>
      </c>
      <c r="C18" s="23">
        <v>117.27</v>
      </c>
      <c r="D18" s="24">
        <v>101.97</v>
      </c>
      <c r="E18" s="24">
        <v>86.68</v>
      </c>
      <c r="F18" s="24">
        <v>194.89</v>
      </c>
      <c r="G18" s="24">
        <v>150.13687500000003</v>
      </c>
      <c r="H18" s="25">
        <v>90.08</v>
      </c>
      <c r="I18" s="26">
        <f>0.82*4500</f>
        <v>3690</v>
      </c>
      <c r="J18" s="27">
        <f>+$B18*C18/1000*$C$9</f>
        <v>3766027.5431999997</v>
      </c>
      <c r="K18" s="28">
        <f t="shared" si="0"/>
        <v>3274680.8952000001</v>
      </c>
      <c r="L18" s="28">
        <f t="shared" si="0"/>
        <v>2783655.3888000003</v>
      </c>
      <c r="M18" s="28">
        <f t="shared" si="0"/>
        <v>6258728.6423999984</v>
      </c>
      <c r="N18" s="28">
        <f t="shared" si="0"/>
        <v>4821519.6256500008</v>
      </c>
      <c r="O18" s="29">
        <f t="shared" si="0"/>
        <v>2892843.5328000002</v>
      </c>
      <c r="P18" s="27">
        <f t="shared" si="1"/>
        <v>2346324.7579199998</v>
      </c>
      <c r="Q18" s="28">
        <f t="shared" si="1"/>
        <v>1919720.25648</v>
      </c>
      <c r="R18" s="27">
        <f t="shared" si="1"/>
        <v>1066511.2535999999</v>
      </c>
      <c r="S18" s="28">
        <f t="shared" si="1"/>
        <v>959860.12823999999</v>
      </c>
      <c r="T18" s="29">
        <f t="shared" si="1"/>
        <v>906534.56556000002</v>
      </c>
      <c r="U18" s="18"/>
      <c r="V18" s="18"/>
      <c r="W18" s="18"/>
      <c r="X18" s="18"/>
      <c r="Y18" s="18"/>
      <c r="Z18" s="18"/>
    </row>
    <row r="19" spans="1:26" ht="14.25" thickBot="1" x14ac:dyDescent="0.3">
      <c r="A19" s="71"/>
      <c r="B19" s="72"/>
      <c r="C19" s="73"/>
      <c r="D19" s="74"/>
      <c r="E19" s="74"/>
      <c r="F19" s="74">
        <v>41.91</v>
      </c>
      <c r="G19" s="74"/>
      <c r="H19" s="75"/>
      <c r="I19" s="76"/>
      <c r="J19" s="77"/>
      <c r="K19" s="78"/>
      <c r="L19" s="78"/>
      <c r="M19" s="78">
        <f>+B20/1000*F19*C9</f>
        <v>5633267.2703999989</v>
      </c>
      <c r="N19" s="78"/>
      <c r="O19" s="79"/>
      <c r="P19" s="77">
        <f t="shared" si="1"/>
        <v>0</v>
      </c>
      <c r="Q19" s="78">
        <f t="shared" si="1"/>
        <v>0</v>
      </c>
      <c r="R19" s="77">
        <f t="shared" si="1"/>
        <v>0</v>
      </c>
      <c r="S19" s="78">
        <f t="shared" si="1"/>
        <v>0</v>
      </c>
      <c r="T19" s="79">
        <f t="shared" si="1"/>
        <v>0</v>
      </c>
      <c r="U19" s="18"/>
      <c r="V19" s="18"/>
      <c r="W19" s="18"/>
      <c r="X19" s="18"/>
      <c r="Y19" s="18"/>
      <c r="Z19" s="18"/>
    </row>
    <row r="20" spans="1:26" ht="14.25" thickBot="1" x14ac:dyDescent="0.3">
      <c r="A20" s="63" t="s">
        <v>2</v>
      </c>
      <c r="B20" s="63">
        <f>SUM(B15:B19)</f>
        <v>92064</v>
      </c>
      <c r="C20" s="64"/>
      <c r="D20" s="65"/>
      <c r="E20" s="65"/>
      <c r="F20" s="65"/>
      <c r="G20" s="65"/>
      <c r="H20" s="66"/>
      <c r="I20" s="67"/>
      <c r="J20" s="80">
        <f t="shared" ref="J20:T20" si="2">SUM(J15:J19)</f>
        <v>14350395.129600001</v>
      </c>
      <c r="K20" s="81">
        <f t="shared" si="2"/>
        <v>12478369.639199998</v>
      </c>
      <c r="L20" s="81">
        <f t="shared" si="2"/>
        <v>10606665.2904</v>
      </c>
      <c r="M20" s="81">
        <f t="shared" si="2"/>
        <v>30566764.867199998</v>
      </c>
      <c r="N20" s="81">
        <f t="shared" si="2"/>
        <v>19207675.670400001</v>
      </c>
      <c r="O20" s="82">
        <f t="shared" si="2"/>
        <v>11524495.516800001</v>
      </c>
      <c r="P20" s="80">
        <f>SUM(P14:P19)</f>
        <v>11735151.050128002</v>
      </c>
      <c r="Q20" s="81">
        <f>SUM(Q14:Q19)</f>
        <v>9601487.2228320017</v>
      </c>
      <c r="R20" s="80">
        <f t="shared" si="2"/>
        <v>5334159.5582400002</v>
      </c>
      <c r="S20" s="81">
        <f t="shared" si="2"/>
        <v>4800743.6024159994</v>
      </c>
      <c r="T20" s="82">
        <f t="shared" si="2"/>
        <v>4534035.6245040009</v>
      </c>
      <c r="U20" s="18"/>
    </row>
    <row r="21" spans="1:26" x14ac:dyDescent="0.25">
      <c r="A21" s="15"/>
      <c r="B21" s="15"/>
      <c r="C21" s="16"/>
      <c r="D21" s="16"/>
      <c r="E21" s="16"/>
      <c r="F21" s="16"/>
      <c r="G21" s="16"/>
      <c r="H21" s="16"/>
      <c r="I21" s="86" t="s">
        <v>47</v>
      </c>
      <c r="J21" s="30"/>
      <c r="K21" s="30"/>
      <c r="L21" s="30"/>
      <c r="M21" s="30"/>
      <c r="N21" s="30"/>
      <c r="O21" s="30"/>
      <c r="P21" s="30"/>
      <c r="Q21" s="30"/>
      <c r="R21" s="30">
        <f>R18/I18*I15</f>
        <v>1374614.5046399997</v>
      </c>
      <c r="S21" s="30">
        <f>S18/I18*I15</f>
        <v>1237153.0541759999</v>
      </c>
      <c r="T21" s="30">
        <f>T18/I18*I15</f>
        <v>1168422.3289439999</v>
      </c>
      <c r="U21" s="18"/>
    </row>
    <row r="22" spans="1:26" x14ac:dyDescent="0.25">
      <c r="G22" s="18">
        <f>+(11524495.5168+(92064/1000*0*1460))*0.3</f>
        <v>3457348.6550399996</v>
      </c>
      <c r="J22" s="13"/>
      <c r="K22" s="30">
        <f>+K20*0.15</f>
        <v>1871755.4458799998</v>
      </c>
      <c r="L22" s="13"/>
      <c r="M22" s="13">
        <f>41.91*92064*1460*0.3</f>
        <v>1689980181.1199999</v>
      </c>
      <c r="N22" s="13"/>
      <c r="O22" s="30"/>
      <c r="P22" s="31"/>
      <c r="Q22" s="31"/>
      <c r="R22" s="32" t="s">
        <v>23</v>
      </c>
      <c r="S22" s="33"/>
      <c r="T22" s="33"/>
      <c r="U22" s="18"/>
    </row>
    <row r="23" spans="1:26" x14ac:dyDescent="0.25">
      <c r="I23" s="86" t="s">
        <v>48</v>
      </c>
      <c r="J23" s="30">
        <f>+J20-J21</f>
        <v>14350395.129600001</v>
      </c>
      <c r="K23" s="30">
        <f>+K20+K22-K21</f>
        <v>14350125.085079998</v>
      </c>
      <c r="L23" s="30"/>
      <c r="M23" s="30">
        <f>+M20-M21</f>
        <v>30566764.867199998</v>
      </c>
      <c r="N23" s="30">
        <f>+N20-N21</f>
        <v>19207675.670400001</v>
      </c>
      <c r="O23" s="30">
        <f>+O20-O21</f>
        <v>11524495.516800001</v>
      </c>
      <c r="P23" s="30">
        <f>+P20-J21</f>
        <v>11735151.050128002</v>
      </c>
      <c r="Q23" s="30">
        <f>+Q20-L21</f>
        <v>9601487.2228320017</v>
      </c>
      <c r="R23" s="32">
        <f>+R21-R18</f>
        <v>308103.25103999977</v>
      </c>
      <c r="S23" s="32"/>
      <c r="T23" s="32"/>
      <c r="U23" s="18"/>
    </row>
    <row r="24" spans="1:26" x14ac:dyDescent="0.25">
      <c r="I24" s="86"/>
      <c r="J24" s="30">
        <f>+J25/30</f>
        <v>31710.400000000001</v>
      </c>
      <c r="K24" s="30">
        <f>+K26/30</f>
        <v>91693.733333333337</v>
      </c>
      <c r="L24" s="30"/>
      <c r="M24" s="30"/>
      <c r="N24" s="30"/>
      <c r="O24" s="30">
        <f>+O20-O22</f>
        <v>11524495.516800001</v>
      </c>
      <c r="P24" s="30"/>
      <c r="Q24" s="30"/>
      <c r="R24" s="32"/>
      <c r="S24" s="32"/>
      <c r="T24" s="32"/>
      <c r="U24" s="18"/>
    </row>
    <row r="25" spans="1:26" ht="40.5" x14ac:dyDescent="0.25">
      <c r="A25" s="34"/>
      <c r="B25" s="17">
        <f>+(11524495.5168)*0.3-85618.08-55016.239998-26161.08-165310.37-51370.848-0-0-0</f>
        <v>3073872.0370419994</v>
      </c>
      <c r="E25" s="36" t="s">
        <v>45</v>
      </c>
      <c r="F25" s="21">
        <v>3000000</v>
      </c>
      <c r="G25" s="21">
        <v>1500000</v>
      </c>
      <c r="H25" s="21">
        <v>3000000</v>
      </c>
      <c r="I25" s="21">
        <v>1500000</v>
      </c>
      <c r="J25" s="21">
        <v>951312</v>
      </c>
      <c r="K25" s="21">
        <v>951312</v>
      </c>
      <c r="L25" s="21">
        <v>895352</v>
      </c>
      <c r="M25" s="21">
        <v>839393</v>
      </c>
      <c r="N25" s="21">
        <v>783433</v>
      </c>
      <c r="O25" s="21">
        <v>783433</v>
      </c>
      <c r="R25" s="99" t="s">
        <v>140</v>
      </c>
      <c r="T25" s="17" t="s">
        <v>143</v>
      </c>
    </row>
    <row r="26" spans="1:26" ht="108" x14ac:dyDescent="0.25">
      <c r="A26" s="35"/>
      <c r="B26" s="5">
        <f>+F26/30</f>
        <v>267666.66666666669</v>
      </c>
      <c r="C26" s="19"/>
      <c r="D26" s="83"/>
      <c r="E26" s="36" t="s">
        <v>46</v>
      </c>
      <c r="F26" s="21">
        <f>5500*$C$9</f>
        <v>8030000</v>
      </c>
      <c r="G26" s="21">
        <f>3600*C9</f>
        <v>5256000</v>
      </c>
      <c r="H26" s="21">
        <f>5500*$C$9</f>
        <v>8030000</v>
      </c>
      <c r="I26" s="21">
        <f>3600*C9</f>
        <v>5256000</v>
      </c>
      <c r="J26" s="21">
        <v>2750812</v>
      </c>
      <c r="K26" s="21">
        <v>2750812</v>
      </c>
      <c r="L26" s="21">
        <v>2589000</v>
      </c>
      <c r="M26" s="21">
        <v>2427187</v>
      </c>
      <c r="N26" s="21">
        <v>2265375</v>
      </c>
      <c r="O26" s="21">
        <v>2265375</v>
      </c>
      <c r="P26" s="37">
        <f>+K25/30</f>
        <v>31710.400000000001</v>
      </c>
      <c r="Q26" s="104">
        <f>+O23*0.3</f>
        <v>3457348.6550400001</v>
      </c>
      <c r="R26" s="100" t="s">
        <v>141</v>
      </c>
    </row>
    <row r="27" spans="1:26" x14ac:dyDescent="0.25">
      <c r="A27" s="9" t="s">
        <v>3</v>
      </c>
      <c r="B27" s="39"/>
      <c r="C27" s="40"/>
      <c r="D27" s="41"/>
      <c r="E27" s="6" t="s">
        <v>17</v>
      </c>
      <c r="F27" s="7" t="s">
        <v>7</v>
      </c>
      <c r="G27" s="7" t="s">
        <v>8</v>
      </c>
      <c r="H27" s="7" t="s">
        <v>24</v>
      </c>
      <c r="I27" s="7" t="s">
        <v>10</v>
      </c>
      <c r="J27" s="7" t="s">
        <v>11</v>
      </c>
      <c r="K27" s="7" t="s">
        <v>12</v>
      </c>
      <c r="L27" s="7" t="s">
        <v>0</v>
      </c>
      <c r="M27" s="7" t="s">
        <v>22</v>
      </c>
      <c r="N27" s="7" t="s">
        <v>13</v>
      </c>
      <c r="O27" s="7" t="s">
        <v>18</v>
      </c>
      <c r="P27" s="13"/>
      <c r="Q27" s="18">
        <f>-SUM(J29:J43)</f>
        <v>-1982932.7542684672</v>
      </c>
      <c r="R27" s="17"/>
    </row>
    <row r="28" spans="1:26" ht="81.75" customHeight="1" x14ac:dyDescent="0.25">
      <c r="A28" s="9"/>
      <c r="B28" s="39"/>
      <c r="C28" s="39"/>
      <c r="D28" s="84"/>
      <c r="E28" s="85"/>
      <c r="F28" s="85">
        <v>4291</v>
      </c>
      <c r="G28" s="85">
        <v>2744</v>
      </c>
      <c r="H28" s="85">
        <v>1541</v>
      </c>
      <c r="I28" s="85">
        <v>406</v>
      </c>
      <c r="J28" s="85" t="s">
        <v>83</v>
      </c>
      <c r="K28" s="85" t="s">
        <v>84</v>
      </c>
      <c r="L28" s="85">
        <v>4351</v>
      </c>
      <c r="M28" s="85"/>
      <c r="N28" s="85"/>
      <c r="O28" s="85"/>
      <c r="P28" s="106"/>
      <c r="Q28" s="17"/>
      <c r="R28" s="17"/>
      <c r="S28" s="100" t="s">
        <v>142</v>
      </c>
    </row>
    <row r="29" spans="1:26" x14ac:dyDescent="0.25">
      <c r="A29" s="8" t="s">
        <v>54</v>
      </c>
      <c r="B29" s="42"/>
      <c r="C29" s="43"/>
      <c r="D29" s="44"/>
      <c r="E29" s="28">
        <v>9</v>
      </c>
      <c r="F29" s="46">
        <f t="shared" ref="F29:O29" si="3">+F$25/30*$E29*$C$10</f>
        <v>270000</v>
      </c>
      <c r="G29" s="46">
        <f t="shared" si="3"/>
        <v>135000</v>
      </c>
      <c r="H29" s="46">
        <f t="shared" si="3"/>
        <v>270000</v>
      </c>
      <c r="I29" s="46">
        <f t="shared" si="3"/>
        <v>135000</v>
      </c>
      <c r="J29" s="46">
        <f t="shared" si="3"/>
        <v>85618.08</v>
      </c>
      <c r="K29" s="46">
        <f t="shared" si="3"/>
        <v>85618.08</v>
      </c>
      <c r="L29" s="46">
        <f t="shared" si="3"/>
        <v>80581.679999999993</v>
      </c>
      <c r="M29" s="105">
        <f t="shared" si="3"/>
        <v>75545.37</v>
      </c>
      <c r="N29" s="46">
        <f t="shared" si="3"/>
        <v>70508.97</v>
      </c>
      <c r="O29" s="46">
        <f t="shared" si="3"/>
        <v>70508.97</v>
      </c>
      <c r="P29" s="18">
        <v>70508.97</v>
      </c>
      <c r="Q29" s="13">
        <f>+N29-P29</f>
        <v>0</v>
      </c>
      <c r="R29" s="17"/>
    </row>
    <row r="30" spans="1:26" x14ac:dyDescent="0.25">
      <c r="A30" s="8" t="s">
        <v>55</v>
      </c>
      <c r="B30" s="42"/>
      <c r="C30" s="43"/>
      <c r="D30" s="44"/>
      <c r="E30" s="28">
        <v>2</v>
      </c>
      <c r="F30" s="46">
        <f t="shared" ref="F30:O30" si="4">+F$26/30*$E30*$C$10</f>
        <v>160600</v>
      </c>
      <c r="G30" s="46">
        <f t="shared" si="4"/>
        <v>105120</v>
      </c>
      <c r="H30" s="46">
        <f t="shared" si="4"/>
        <v>160600</v>
      </c>
      <c r="I30" s="46">
        <f t="shared" si="4"/>
        <v>105120</v>
      </c>
      <c r="J30" s="46">
        <f t="shared" si="4"/>
        <v>55016.24</v>
      </c>
      <c r="K30" s="46">
        <f t="shared" si="4"/>
        <v>55016.24</v>
      </c>
      <c r="L30" s="46">
        <f t="shared" si="4"/>
        <v>51780</v>
      </c>
      <c r="M30" s="105">
        <f t="shared" si="4"/>
        <v>48543.74</v>
      </c>
      <c r="N30" s="46">
        <f t="shared" si="4"/>
        <v>45307.5</v>
      </c>
      <c r="O30" s="46">
        <f t="shared" si="4"/>
        <v>45307.5</v>
      </c>
      <c r="P30" s="18">
        <v>45307.5</v>
      </c>
      <c r="Q30" s="13">
        <f t="shared" ref="Q30:Q42" si="5">+N30-P30</f>
        <v>0</v>
      </c>
      <c r="R30" s="87"/>
      <c r="S30" s="97">
        <f>(+B18/1000*I18*C9*R14)*0.9/I18*I15</f>
        <v>1374614.5046399997</v>
      </c>
      <c r="T30" s="87"/>
    </row>
    <row r="31" spans="1:26" x14ac:dyDescent="0.25">
      <c r="A31" s="8" t="s">
        <v>19</v>
      </c>
      <c r="B31" s="42"/>
      <c r="C31" s="43"/>
      <c r="D31" s="44"/>
      <c r="E31" s="45">
        <v>0.25</v>
      </c>
      <c r="F31" s="46">
        <f>F$25/30*($E29+$E30)*14/100*$C$10</f>
        <v>46200</v>
      </c>
      <c r="G31" s="46">
        <f t="shared" ref="G31:O31" si="6">G$25/30*($E29+$E30)*$E31*$C$10</f>
        <v>41250</v>
      </c>
      <c r="H31" s="46">
        <f t="shared" si="6"/>
        <v>82500</v>
      </c>
      <c r="I31" s="46">
        <f t="shared" si="6"/>
        <v>41250</v>
      </c>
      <c r="J31" s="46">
        <f t="shared" si="6"/>
        <v>26161.08</v>
      </c>
      <c r="K31" s="46">
        <f>K$25/30*($E29+$E30)*$E31*$C$10</f>
        <v>26161.08</v>
      </c>
      <c r="L31" s="46">
        <f t="shared" si="6"/>
        <v>24622.18</v>
      </c>
      <c r="M31" s="105">
        <f t="shared" si="6"/>
        <v>23083.307499999999</v>
      </c>
      <c r="N31" s="46">
        <f t="shared" si="6"/>
        <v>21544.407499999998</v>
      </c>
      <c r="O31" s="46">
        <f t="shared" si="6"/>
        <v>21544.407499999998</v>
      </c>
      <c r="P31" s="18">
        <v>15511.97</v>
      </c>
      <c r="Q31" s="13">
        <f t="shared" si="5"/>
        <v>6032.4374999999982</v>
      </c>
      <c r="R31" s="87"/>
      <c r="S31" s="30">
        <f>(+S30-R18)*C10</f>
        <v>92430.975311999922</v>
      </c>
      <c r="T31" s="87"/>
    </row>
    <row r="32" spans="1:26" x14ac:dyDescent="0.25">
      <c r="A32" s="8" t="s">
        <v>43</v>
      </c>
      <c r="B32" s="42"/>
      <c r="C32" s="43"/>
      <c r="D32" s="44"/>
      <c r="E32" s="45">
        <v>0.6</v>
      </c>
      <c r="F32" s="46">
        <f t="shared" ref="F32:O32" si="7">+F29*$E32</f>
        <v>162000</v>
      </c>
      <c r="G32" s="46">
        <f t="shared" si="7"/>
        <v>81000</v>
      </c>
      <c r="H32" s="46">
        <f t="shared" si="7"/>
        <v>162000</v>
      </c>
      <c r="I32" s="46">
        <f t="shared" si="7"/>
        <v>81000</v>
      </c>
      <c r="J32" s="46">
        <f t="shared" si="7"/>
        <v>51370.847999999998</v>
      </c>
      <c r="K32" s="46">
        <f t="shared" si="7"/>
        <v>51370.847999999998</v>
      </c>
      <c r="L32" s="46">
        <f t="shared" si="7"/>
        <v>48349.007999999994</v>
      </c>
      <c r="M32" s="105">
        <f t="shared" si="7"/>
        <v>45327.221999999994</v>
      </c>
      <c r="N32" s="46">
        <f t="shared" si="7"/>
        <v>42305.381999999998</v>
      </c>
      <c r="O32" s="46">
        <f t="shared" si="7"/>
        <v>42305.381999999998</v>
      </c>
      <c r="P32" s="18">
        <v>42305.38</v>
      </c>
      <c r="Q32" s="13">
        <f t="shared" si="5"/>
        <v>2.0000000004074536E-3</v>
      </c>
      <c r="R32" s="88" t="s">
        <v>52</v>
      </c>
      <c r="S32" s="87"/>
      <c r="T32" s="87"/>
    </row>
    <row r="33" spans="1:20" x14ac:dyDescent="0.25">
      <c r="A33" s="8" t="s">
        <v>56</v>
      </c>
      <c r="B33" s="42"/>
      <c r="C33" s="43"/>
      <c r="D33" s="44"/>
      <c r="E33" s="28">
        <f>+E29</f>
        <v>9</v>
      </c>
      <c r="F33" s="46">
        <v>0</v>
      </c>
      <c r="G33" s="46">
        <v>0</v>
      </c>
      <c r="H33" s="46">
        <v>0</v>
      </c>
      <c r="I33" s="46">
        <v>0</v>
      </c>
      <c r="J33" s="46">
        <f>50/70*85*$E33*$C$10</f>
        <v>163.92857142857142</v>
      </c>
      <c r="K33" s="46">
        <f>50/70*85*$E33*$C$10</f>
        <v>163.92857142857142</v>
      </c>
      <c r="L33" s="46">
        <f>50/70*80*$E33*$C$10</f>
        <v>154.28571428571431</v>
      </c>
      <c r="M33" s="105">
        <f>50/70*75*$E33*$C$10</f>
        <v>144.64285714285714</v>
      </c>
      <c r="N33" s="46">
        <f>50*$E33*$C$10</f>
        <v>135</v>
      </c>
      <c r="O33" s="46">
        <f>50*$E33*$C$10</f>
        <v>135</v>
      </c>
      <c r="P33" s="18">
        <v>135</v>
      </c>
      <c r="Q33" s="13">
        <f t="shared" si="5"/>
        <v>0</v>
      </c>
      <c r="R33" s="87"/>
      <c r="S33" s="87"/>
      <c r="T33" s="87"/>
    </row>
    <row r="34" spans="1:20" x14ac:dyDescent="0.25">
      <c r="A34" s="8" t="s">
        <v>57</v>
      </c>
      <c r="B34" s="42"/>
      <c r="C34" s="43"/>
      <c r="D34" s="44"/>
      <c r="E34" s="28">
        <v>1928</v>
      </c>
      <c r="F34" s="46">
        <v>0</v>
      </c>
      <c r="G34" s="46">
        <v>0</v>
      </c>
      <c r="H34" s="46">
        <v>0</v>
      </c>
      <c r="I34" s="46">
        <v>0</v>
      </c>
      <c r="J34" s="46">
        <f t="shared" ref="J34:O34" si="8">+$B$20/1000*$E34*$C$10</f>
        <v>53249.817599999995</v>
      </c>
      <c r="K34" s="46">
        <f>+$B$20/1000*$E34*$C$10</f>
        <v>53249.817599999995</v>
      </c>
      <c r="L34" s="46">
        <f t="shared" si="8"/>
        <v>53249.817599999995</v>
      </c>
      <c r="M34" s="105">
        <f t="shared" si="8"/>
        <v>53249.817599999995</v>
      </c>
      <c r="N34" s="46">
        <f t="shared" si="8"/>
        <v>53249.817599999995</v>
      </c>
      <c r="O34" s="46">
        <f t="shared" si="8"/>
        <v>53249.817599999995</v>
      </c>
      <c r="P34" s="18">
        <v>53247.5</v>
      </c>
      <c r="Q34" s="13">
        <f t="shared" si="5"/>
        <v>2.3175999999948544</v>
      </c>
      <c r="R34" s="87"/>
      <c r="S34" s="18"/>
      <c r="T34" s="87"/>
    </row>
    <row r="35" spans="1:20" x14ac:dyDescent="0.25">
      <c r="A35" s="8" t="s">
        <v>58</v>
      </c>
      <c r="B35" s="42"/>
      <c r="C35" s="43"/>
      <c r="D35" s="44"/>
      <c r="E35" s="28"/>
      <c r="F35" s="46">
        <f>+(P23*$C$10)-F29-F30-F31-F32-F42</f>
        <v>2823672.5877656732</v>
      </c>
      <c r="G35" s="46">
        <v>0</v>
      </c>
      <c r="H35" s="46">
        <f>+(P23*$C$10)-H29-H30-H31-H32-H42</f>
        <v>2784072.5877656732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Q35" s="13">
        <f t="shared" si="5"/>
        <v>0</v>
      </c>
      <c r="R35" s="87"/>
      <c r="S35" s="97">
        <f>+R15/0.3</f>
        <v>7431767.452800001</v>
      </c>
      <c r="T35" s="87"/>
    </row>
    <row r="36" spans="1:20" x14ac:dyDescent="0.25">
      <c r="A36" s="8" t="s">
        <v>59</v>
      </c>
      <c r="B36" s="42"/>
      <c r="C36" s="43"/>
      <c r="D36" s="44"/>
      <c r="E36" s="28"/>
      <c r="F36" s="46">
        <v>0</v>
      </c>
      <c r="G36" s="46">
        <v>0</v>
      </c>
      <c r="H36" s="46">
        <v>0</v>
      </c>
      <c r="I36" s="46">
        <v>0</v>
      </c>
      <c r="J36" s="46">
        <f>+$R15*$C$10</f>
        <v>668859.07075200009</v>
      </c>
      <c r="K36" s="46">
        <f>+$R15*$C$10</f>
        <v>668859.07075200009</v>
      </c>
      <c r="L36" s="46">
        <f t="shared" ref="L36:M39" si="9">+$S15*$C$10</f>
        <v>601973.16367679997</v>
      </c>
      <c r="M36" s="105">
        <f t="shared" si="9"/>
        <v>601973.16367679997</v>
      </c>
      <c r="N36" s="46">
        <f t="shared" ref="N36:O39" si="10">+$T15*$C$10</f>
        <v>568530.21013920009</v>
      </c>
      <c r="O36" s="46">
        <f t="shared" si="10"/>
        <v>568530.21013920009</v>
      </c>
      <c r="P36" s="18">
        <v>568530.21</v>
      </c>
      <c r="Q36" s="13">
        <f t="shared" si="5"/>
        <v>1.392001286149025E-4</v>
      </c>
      <c r="R36" s="87" t="s">
        <v>139</v>
      </c>
      <c r="S36" s="18"/>
      <c r="T36" s="87"/>
    </row>
    <row r="37" spans="1:20" x14ac:dyDescent="0.25">
      <c r="A37" s="8" t="s">
        <v>60</v>
      </c>
      <c r="B37" s="42"/>
      <c r="C37" s="43"/>
      <c r="D37" s="44"/>
      <c r="E37" s="28"/>
      <c r="F37" s="46">
        <v>0</v>
      </c>
      <c r="G37" s="46">
        <v>0</v>
      </c>
      <c r="H37" s="46">
        <v>0</v>
      </c>
      <c r="I37" s="46">
        <v>0</v>
      </c>
      <c r="J37" s="46">
        <f t="shared" ref="J37" si="11">+$R16*$C$10</f>
        <v>611435.42064000003</v>
      </c>
      <c r="K37" s="46">
        <f t="shared" ref="K37" si="12">+$R16*$C$10</f>
        <v>611435.42064000003</v>
      </c>
      <c r="L37" s="46">
        <f t="shared" si="9"/>
        <v>550291.87857599999</v>
      </c>
      <c r="M37" s="105">
        <f t="shared" si="9"/>
        <v>550291.87857599999</v>
      </c>
      <c r="N37" s="46">
        <f t="shared" si="10"/>
        <v>519720.10754400009</v>
      </c>
      <c r="O37" s="46">
        <f t="shared" si="10"/>
        <v>519720.10754400009</v>
      </c>
      <c r="P37" s="18">
        <v>519720.11</v>
      </c>
      <c r="Q37" s="13">
        <f t="shared" si="5"/>
        <v>-2.4559999001212418E-3</v>
      </c>
      <c r="R37" s="17">
        <f>($B15/1000*$I15*$C$9*R$14)*0.9</f>
        <v>2229530.2358400002</v>
      </c>
      <c r="S37" s="98" t="s">
        <v>137</v>
      </c>
      <c r="T37" s="87"/>
    </row>
    <row r="38" spans="1:20" x14ac:dyDescent="0.25">
      <c r="A38" s="8" t="s">
        <v>61</v>
      </c>
      <c r="B38" s="42"/>
      <c r="C38" s="43"/>
      <c r="D38" s="44"/>
      <c r="E38" s="28"/>
      <c r="F38" s="46">
        <v>0</v>
      </c>
      <c r="G38" s="46">
        <v>0</v>
      </c>
      <c r="H38" s="46">
        <v>0</v>
      </c>
      <c r="I38" s="46">
        <v>0</v>
      </c>
      <c r="J38" s="46">
        <f t="shared" ref="J38" si="13">+$R17*$C$10</f>
        <v>0</v>
      </c>
      <c r="K38" s="46">
        <f t="shared" ref="K38" si="14">+$R17*$C$10</f>
        <v>0</v>
      </c>
      <c r="L38" s="46">
        <f t="shared" si="9"/>
        <v>0</v>
      </c>
      <c r="M38" s="46">
        <f t="shared" si="9"/>
        <v>0</v>
      </c>
      <c r="N38" s="46">
        <f t="shared" si="10"/>
        <v>0</v>
      </c>
      <c r="O38" s="46">
        <f t="shared" si="10"/>
        <v>0</v>
      </c>
      <c r="Q38" s="13">
        <f t="shared" si="5"/>
        <v>0</v>
      </c>
      <c r="R38" s="17">
        <f>+$R15*$C$10</f>
        <v>668859.07075200009</v>
      </c>
      <c r="S38" s="98" t="s">
        <v>138</v>
      </c>
      <c r="T38" s="87"/>
    </row>
    <row r="39" spans="1:20" x14ac:dyDescent="0.25">
      <c r="A39" s="8" t="s">
        <v>62</v>
      </c>
      <c r="B39" s="42"/>
      <c r="C39" s="43"/>
      <c r="D39" s="44"/>
      <c r="E39" s="28"/>
      <c r="F39" s="46">
        <v>0</v>
      </c>
      <c r="G39" s="46">
        <v>0</v>
      </c>
      <c r="H39" s="46">
        <v>0</v>
      </c>
      <c r="I39" s="46">
        <v>0</v>
      </c>
      <c r="J39" s="46">
        <f t="shared" ref="J39" si="15">+$R18*$C$10</f>
        <v>319953.37607999996</v>
      </c>
      <c r="K39" s="46">
        <f t="shared" ref="K39" si="16">+$R18*$C$10</f>
        <v>319953.37607999996</v>
      </c>
      <c r="L39" s="46">
        <f t="shared" si="9"/>
        <v>287958.03847199999</v>
      </c>
      <c r="M39" s="105">
        <f t="shared" si="9"/>
        <v>287958.03847199999</v>
      </c>
      <c r="N39" s="46">
        <f t="shared" si="10"/>
        <v>271960.36966799997</v>
      </c>
      <c r="O39" s="46">
        <f t="shared" si="10"/>
        <v>271960.36966799997</v>
      </c>
      <c r="P39" s="18">
        <v>271960.37</v>
      </c>
      <c r="Q39" s="13">
        <f t="shared" si="5"/>
        <v>-3.3200002508237958E-4</v>
      </c>
      <c r="R39" s="87"/>
      <c r="S39" s="87"/>
      <c r="T39" s="87"/>
    </row>
    <row r="40" spans="1:20" x14ac:dyDescent="0.25">
      <c r="A40" s="8" t="s">
        <v>63</v>
      </c>
      <c r="B40" s="42"/>
      <c r="C40" s="43"/>
      <c r="D40" s="44"/>
      <c r="E40" s="45"/>
      <c r="F40" s="46">
        <v>0</v>
      </c>
      <c r="G40" s="46">
        <v>0</v>
      </c>
      <c r="H40" s="46">
        <v>0</v>
      </c>
      <c r="I40" s="46">
        <v>0</v>
      </c>
      <c r="J40" s="46">
        <f>+($R$21-$R$18)*$C$10</f>
        <v>92430.975311999922</v>
      </c>
      <c r="K40" s="46">
        <f>+($R$21-$R$18)*$C$10</f>
        <v>92430.975311999922</v>
      </c>
      <c r="L40" s="46">
        <f>+($S$21-$S$18)*$C$10</f>
        <v>83187.877780799987</v>
      </c>
      <c r="M40" s="46">
        <f>+($S$21-$S$18)*$C$10</f>
        <v>83187.877780799987</v>
      </c>
      <c r="N40" s="46">
        <f>+($T$21-$T$18)*$C$10</f>
        <v>78566.329015199983</v>
      </c>
      <c r="O40" s="46">
        <f>+($T$21-$T$18)*$C$10</f>
        <v>78566.329015199983</v>
      </c>
      <c r="P40" s="18">
        <v>78568.61</v>
      </c>
      <c r="Q40" s="13">
        <f t="shared" si="5"/>
        <v>-2.2809848000179045</v>
      </c>
      <c r="R40" s="87"/>
      <c r="S40" s="87"/>
      <c r="T40" s="87"/>
    </row>
    <row r="41" spans="1:20" x14ac:dyDescent="0.25">
      <c r="A41" s="8" t="s">
        <v>28</v>
      </c>
      <c r="B41" s="42"/>
      <c r="C41" s="43"/>
      <c r="D41" s="44"/>
      <c r="E41" s="45"/>
      <c r="F41" s="46">
        <v>0</v>
      </c>
      <c r="G41" s="46">
        <v>0</v>
      </c>
      <c r="H41" s="46">
        <v>0</v>
      </c>
      <c r="I41" s="46">
        <v>0</v>
      </c>
      <c r="J41" s="46">
        <f t="shared" ref="J41:O41" si="17">(J29+J34)*-1</f>
        <v>-138867.8976</v>
      </c>
      <c r="K41" s="46">
        <f t="shared" si="17"/>
        <v>-138867.8976</v>
      </c>
      <c r="L41" s="46">
        <f t="shared" si="17"/>
        <v>-133831.4976</v>
      </c>
      <c r="M41" s="105">
        <f t="shared" si="17"/>
        <v>-128795.18759999999</v>
      </c>
      <c r="N41" s="46">
        <f t="shared" si="17"/>
        <v>-123758.7876</v>
      </c>
      <c r="O41" s="46">
        <f t="shared" si="17"/>
        <v>-123758.7876</v>
      </c>
      <c r="P41" s="18">
        <v>-123758.78</v>
      </c>
      <c r="Q41" s="13">
        <f t="shared" si="5"/>
        <v>-7.5999999971827492E-3</v>
      </c>
      <c r="R41" s="87"/>
      <c r="S41" s="87"/>
      <c r="T41" s="87"/>
    </row>
    <row r="42" spans="1:20" x14ac:dyDescent="0.25">
      <c r="A42" s="8" t="s">
        <v>82</v>
      </c>
      <c r="B42" s="42"/>
      <c r="C42" s="43"/>
      <c r="D42" s="44"/>
      <c r="E42" s="90">
        <v>1</v>
      </c>
      <c r="F42" s="46">
        <f t="shared" ref="F42:O42" si="18">(F29+F30+F31+F32+F33+F34+F36+F37+F38+F39+F41)/($E29+$E30)*$E42</f>
        <v>58072.727272727272</v>
      </c>
      <c r="G42" s="46">
        <f t="shared" si="18"/>
        <v>32942.727272727272</v>
      </c>
      <c r="H42" s="46">
        <f t="shared" si="18"/>
        <v>61372.727272727272</v>
      </c>
      <c r="I42" s="46">
        <f t="shared" si="18"/>
        <v>32942.727272727272</v>
      </c>
      <c r="J42" s="46">
        <f t="shared" si="18"/>
        <v>157541.81491303895</v>
      </c>
      <c r="K42" s="46">
        <f t="shared" si="18"/>
        <v>157541.81491303895</v>
      </c>
      <c r="L42" s="46">
        <f t="shared" si="18"/>
        <v>142284.41403991685</v>
      </c>
      <c r="M42" s="46">
        <f t="shared" si="18"/>
        <v>141574.72664381299</v>
      </c>
      <c r="N42" s="46">
        <f t="shared" si="18"/>
        <v>133591.17971374549</v>
      </c>
      <c r="O42" s="46">
        <f t="shared" si="18"/>
        <v>133591.17971374549</v>
      </c>
      <c r="P42" s="18">
        <v>133591.18</v>
      </c>
      <c r="Q42" s="13">
        <f t="shared" si="5"/>
        <v>-2.8625450795516372E-4</v>
      </c>
      <c r="R42" s="33">
        <f>(K29+K30+K31+K32+K33+K34+K36+K37+K38+K39+K41)</f>
        <v>1732959.9640434284</v>
      </c>
      <c r="S42" s="87"/>
      <c r="T42" s="87"/>
    </row>
    <row r="43" spans="1:20" x14ac:dyDescent="0.25">
      <c r="A43" s="8" t="s">
        <v>64</v>
      </c>
      <c r="B43" s="42"/>
      <c r="C43" s="43"/>
      <c r="D43" s="44"/>
      <c r="E43" s="45">
        <v>0.2</v>
      </c>
      <c r="F43" s="46">
        <v>0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f>(O36+O37+O38+O39)*$E43</f>
        <v>272042.13747024001</v>
      </c>
      <c r="Q43" s="30"/>
      <c r="R43" s="33">
        <f>1825390.1-R42</f>
        <v>92430.13595657167</v>
      </c>
      <c r="S43" s="87"/>
      <c r="T43" s="87"/>
    </row>
    <row r="44" spans="1:20" x14ac:dyDescent="0.25">
      <c r="A44" s="8" t="s">
        <v>65</v>
      </c>
      <c r="B44" s="42"/>
      <c r="C44" s="43"/>
      <c r="D44" s="44"/>
      <c r="E44" s="45">
        <v>0.15</v>
      </c>
      <c r="F44" s="46">
        <v>0</v>
      </c>
      <c r="G44" s="46">
        <f>+K22*$C$10</f>
        <v>561526.63376399991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Q44" s="30"/>
      <c r="R44" s="87"/>
      <c r="S44" s="87"/>
      <c r="T44" s="87"/>
    </row>
    <row r="45" spans="1:20" x14ac:dyDescent="0.25">
      <c r="A45" s="8" t="s">
        <v>49</v>
      </c>
      <c r="B45" s="42"/>
      <c r="C45" s="43"/>
      <c r="D45" s="44"/>
      <c r="E45" s="46"/>
      <c r="F45" s="46">
        <f>+(J23*$C$10)-F29-F30-F31-F32-F35-F42-F44</f>
        <v>784573.22384159942</v>
      </c>
      <c r="G45" s="46">
        <f>+(K23*$C$10)-G29-G30-G31-G32-G35-G42-G44</f>
        <v>3348198.1644872716</v>
      </c>
      <c r="H45" s="46">
        <f>+(M23*$C$10)-H29-H30-H31-H32-H35-H42-H44</f>
        <v>5649484.1451215977</v>
      </c>
      <c r="I45" s="46">
        <f>+(N23*$C$10)-I29-I30-I31-I32-I35-I42-I44</f>
        <v>5366989.9738472728</v>
      </c>
      <c r="J45" s="46">
        <f>(O23*$C$10)-J29-J30-J31-J32-J33-J34-J35-J36-J37-J38-J39-J40-J41-J42</f>
        <v>1474415.9007715324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Q45" s="30"/>
      <c r="R45" s="87"/>
      <c r="S45" s="87"/>
      <c r="T45" s="87"/>
    </row>
    <row r="46" spans="1:20" x14ac:dyDescent="0.25">
      <c r="A46" s="8"/>
      <c r="B46" s="42"/>
      <c r="C46" s="43"/>
      <c r="D46" s="44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30"/>
      <c r="Q46" s="87"/>
      <c r="R46" s="33">
        <v>2268433.96</v>
      </c>
      <c r="S46" s="87"/>
    </row>
    <row r="47" spans="1:20" x14ac:dyDescent="0.25">
      <c r="A47" s="9" t="s">
        <v>72</v>
      </c>
      <c r="B47" s="10"/>
      <c r="C47" s="11"/>
      <c r="D47" s="12"/>
      <c r="E47" s="6"/>
      <c r="F47" s="6">
        <f t="shared" ref="F47:O47" si="19">SUM(F29:F45)</f>
        <v>4305118.5388799999</v>
      </c>
      <c r="G47" s="6">
        <f t="shared" si="19"/>
        <v>4305037.5255239988</v>
      </c>
      <c r="H47" s="6">
        <f t="shared" si="19"/>
        <v>9170029.4601599984</v>
      </c>
      <c r="I47" s="6">
        <f t="shared" si="19"/>
        <v>5762302.7011200003</v>
      </c>
      <c r="J47" s="6">
        <f t="shared" si="19"/>
        <v>3457348.6550399996</v>
      </c>
      <c r="K47" s="6">
        <f t="shared" si="19"/>
        <v>1982932.7542684672</v>
      </c>
      <c r="L47" s="6">
        <f t="shared" si="19"/>
        <v>1790600.8462598026</v>
      </c>
      <c r="M47" s="6">
        <f t="shared" si="19"/>
        <v>1782084.597506556</v>
      </c>
      <c r="N47" s="6">
        <f t="shared" si="19"/>
        <v>1681660.4855801458</v>
      </c>
      <c r="O47" s="6">
        <f t="shared" si="19"/>
        <v>1953702.6230503859</v>
      </c>
      <c r="P47" s="30"/>
      <c r="Q47" s="33"/>
      <c r="R47" s="33">
        <f>+SUM(J29:J44)</f>
        <v>1982932.7542684672</v>
      </c>
      <c r="S47" s="87"/>
    </row>
    <row r="48" spans="1:20" x14ac:dyDescent="0.25">
      <c r="A48" s="9" t="s">
        <v>73</v>
      </c>
      <c r="B48" s="10"/>
      <c r="C48" s="11"/>
      <c r="D48" s="12"/>
      <c r="E48" s="6"/>
      <c r="F48" s="6">
        <f t="shared" ref="F48:O48" si="20">+F47/$C$10*$C$11</f>
        <v>10045276.59072</v>
      </c>
      <c r="G48" s="6">
        <f t="shared" si="20"/>
        <v>10045087.559555996</v>
      </c>
      <c r="H48" s="6">
        <f t="shared" si="20"/>
        <v>21396735.407039996</v>
      </c>
      <c r="I48" s="6">
        <f t="shared" si="20"/>
        <v>13445372.969280001</v>
      </c>
      <c r="J48" s="6">
        <f t="shared" si="20"/>
        <v>8067146.8617599988</v>
      </c>
      <c r="K48" s="6">
        <f t="shared" si="20"/>
        <v>4626843.0932930904</v>
      </c>
      <c r="L48" s="6">
        <f t="shared" si="20"/>
        <v>4178068.6412728722</v>
      </c>
      <c r="M48" s="6">
        <f t="shared" si="20"/>
        <v>4158197.3941819635</v>
      </c>
      <c r="N48" s="6">
        <f t="shared" si="20"/>
        <v>3923874.4663536735</v>
      </c>
      <c r="O48" s="6">
        <f t="shared" si="20"/>
        <v>4558639.4537842339</v>
      </c>
      <c r="P48" s="1"/>
      <c r="Q48" s="17"/>
      <c r="R48" s="18">
        <f>+R46-R47</f>
        <v>285501.20573153277</v>
      </c>
    </row>
    <row r="49" spans="1:18" x14ac:dyDescent="0.25">
      <c r="A49" s="9" t="s">
        <v>74</v>
      </c>
      <c r="B49" s="10"/>
      <c r="C49" s="11"/>
      <c r="D49" s="12"/>
      <c r="E49" s="6"/>
      <c r="F49" s="6">
        <f t="shared" ref="F49:O49" si="21">+F47+F48</f>
        <v>14350395.1296</v>
      </c>
      <c r="G49" s="6">
        <f t="shared" si="21"/>
        <v>14350125.085079994</v>
      </c>
      <c r="H49" s="6">
        <f t="shared" si="21"/>
        <v>30566764.867199995</v>
      </c>
      <c r="I49" s="6">
        <f t="shared" si="21"/>
        <v>19207675.670400001</v>
      </c>
      <c r="J49" s="6">
        <f t="shared" si="21"/>
        <v>11524495.516799998</v>
      </c>
      <c r="K49" s="6">
        <f t="shared" si="21"/>
        <v>6609775.8475615578</v>
      </c>
      <c r="L49" s="6">
        <f t="shared" si="21"/>
        <v>5968669.4875326753</v>
      </c>
      <c r="M49" s="6">
        <f t="shared" si="21"/>
        <v>5940281.9916885197</v>
      </c>
      <c r="N49" s="6">
        <f t="shared" si="21"/>
        <v>5605534.9519338198</v>
      </c>
      <c r="O49" s="6">
        <f t="shared" si="21"/>
        <v>6512342.07683462</v>
      </c>
      <c r="P49" s="1"/>
      <c r="Q49" s="17"/>
      <c r="R49" s="17"/>
    </row>
    <row r="50" spans="1:18" x14ac:dyDescent="0.25">
      <c r="A50" s="8" t="s">
        <v>50</v>
      </c>
      <c r="B50" s="2"/>
      <c r="C50" s="3"/>
      <c r="D50" s="47">
        <v>4509567.41</v>
      </c>
      <c r="E50" s="48">
        <v>0.11</v>
      </c>
      <c r="F50" s="46">
        <f t="shared" ref="F50:O50" si="22">MIN(F47,$D50)*$E50</f>
        <v>473563.0392768</v>
      </c>
      <c r="G50" s="46">
        <f t="shared" si="22"/>
        <v>473554.12780763989</v>
      </c>
      <c r="H50" s="46">
        <f t="shared" si="22"/>
        <v>496052.41510000004</v>
      </c>
      <c r="I50" s="46">
        <f t="shared" si="22"/>
        <v>496052.41510000004</v>
      </c>
      <c r="J50" s="46">
        <f t="shared" si="22"/>
        <v>380308.35205439996</v>
      </c>
      <c r="K50" s="46">
        <f t="shared" si="22"/>
        <v>218122.60296953141</v>
      </c>
      <c r="L50" s="46">
        <f t="shared" si="22"/>
        <v>196966.09308857829</v>
      </c>
      <c r="M50" s="46">
        <f t="shared" si="22"/>
        <v>196029.30572572115</v>
      </c>
      <c r="N50" s="46">
        <f t="shared" si="22"/>
        <v>184982.65341381604</v>
      </c>
      <c r="O50" s="46">
        <f t="shared" si="22"/>
        <v>214907.28853554244</v>
      </c>
      <c r="P50" s="13"/>
      <c r="Q50" s="17"/>
      <c r="R50" s="17"/>
    </row>
    <row r="51" spans="1:18" x14ac:dyDescent="0.25">
      <c r="A51" s="8" t="s">
        <v>51</v>
      </c>
      <c r="B51" s="2"/>
      <c r="C51" s="3"/>
      <c r="D51" s="47">
        <v>4509567.41</v>
      </c>
      <c r="E51" s="48">
        <v>0.03</v>
      </c>
      <c r="F51" s="46">
        <f t="shared" ref="F51:O51" si="23">MIN(F47,$D51)*$E51</f>
        <v>129153.5561664</v>
      </c>
      <c r="G51" s="46">
        <f t="shared" si="23"/>
        <v>129151.12576571996</v>
      </c>
      <c r="H51" s="46">
        <f t="shared" si="23"/>
        <v>135287.02230000001</v>
      </c>
      <c r="I51" s="46">
        <f t="shared" si="23"/>
        <v>135287.02230000001</v>
      </c>
      <c r="J51" s="46">
        <f t="shared" si="23"/>
        <v>103720.45965119998</v>
      </c>
      <c r="K51" s="46">
        <f t="shared" si="23"/>
        <v>59487.982628054015</v>
      </c>
      <c r="L51" s="46">
        <f t="shared" si="23"/>
        <v>53718.025387794078</v>
      </c>
      <c r="M51" s="46">
        <f t="shared" si="23"/>
        <v>53462.537925196673</v>
      </c>
      <c r="N51" s="46">
        <f t="shared" si="23"/>
        <v>50449.814567404377</v>
      </c>
      <c r="O51" s="46">
        <f t="shared" si="23"/>
        <v>58611.078691511575</v>
      </c>
      <c r="P51" s="13"/>
      <c r="Q51" s="17"/>
      <c r="R51" s="17"/>
    </row>
    <row r="52" spans="1:18" x14ac:dyDescent="0.25">
      <c r="A52" s="8" t="s">
        <v>66</v>
      </c>
      <c r="B52" s="2"/>
      <c r="C52" s="3"/>
      <c r="D52" s="47">
        <v>4509567.41</v>
      </c>
      <c r="E52" s="48">
        <v>0.03</v>
      </c>
      <c r="F52" s="46">
        <f t="shared" ref="F52:O52" si="24">MIN(F49,$D52)*$E52</f>
        <v>135287.02230000001</v>
      </c>
      <c r="G52" s="46">
        <f t="shared" si="24"/>
        <v>135287.02230000001</v>
      </c>
      <c r="H52" s="46">
        <f t="shared" si="24"/>
        <v>135287.02230000001</v>
      </c>
      <c r="I52" s="46">
        <f t="shared" si="24"/>
        <v>135287.02230000001</v>
      </c>
      <c r="J52" s="46">
        <f t="shared" si="24"/>
        <v>135287.02230000001</v>
      </c>
      <c r="K52" s="46">
        <f t="shared" si="24"/>
        <v>135287.02230000001</v>
      </c>
      <c r="L52" s="46">
        <f t="shared" si="24"/>
        <v>135287.02230000001</v>
      </c>
      <c r="M52" s="46">
        <f t="shared" si="24"/>
        <v>135287.02230000001</v>
      </c>
      <c r="N52" s="46">
        <f t="shared" si="24"/>
        <v>135287.02230000001</v>
      </c>
      <c r="O52" s="46">
        <f t="shared" si="24"/>
        <v>135287.02230000001</v>
      </c>
      <c r="P52" s="13"/>
      <c r="Q52" s="17"/>
      <c r="R52" s="17"/>
    </row>
    <row r="53" spans="1:18" x14ac:dyDescent="0.25">
      <c r="A53" s="8" t="s">
        <v>67</v>
      </c>
      <c r="B53" s="2"/>
      <c r="C53" s="3"/>
      <c r="D53" s="4"/>
      <c r="E53" s="48"/>
      <c r="F53" s="46">
        <f>+F49*2.5/100</f>
        <v>358759.87823999999</v>
      </c>
      <c r="G53" s="46">
        <f>+G49*4.5/100</f>
        <v>645755.6288285997</v>
      </c>
      <c r="H53" s="46">
        <f>+H49*10.75/100</f>
        <v>3285927.2232239991</v>
      </c>
      <c r="I53" s="46">
        <f>+I49*4.5/100</f>
        <v>864345.40516800003</v>
      </c>
      <c r="J53" s="46">
        <f t="shared" ref="J53:O53" si="25">+J49*4/100</f>
        <v>460979.82067199989</v>
      </c>
      <c r="K53" s="46">
        <f t="shared" si="25"/>
        <v>264391.03390246234</v>
      </c>
      <c r="L53" s="46">
        <f t="shared" si="25"/>
        <v>238746.779501307</v>
      </c>
      <c r="M53" s="46">
        <f t="shared" si="25"/>
        <v>237611.2796675408</v>
      </c>
      <c r="N53" s="46">
        <f t="shared" si="25"/>
        <v>224221.39807735279</v>
      </c>
      <c r="O53" s="46">
        <f t="shared" si="25"/>
        <v>260493.6830733848</v>
      </c>
      <c r="P53" s="13"/>
      <c r="Q53" s="17"/>
      <c r="R53" s="17"/>
    </row>
    <row r="54" spans="1:18" x14ac:dyDescent="0.25">
      <c r="A54" s="8" t="s">
        <v>85</v>
      </c>
      <c r="B54" s="2"/>
      <c r="C54" s="3"/>
      <c r="D54" s="4"/>
      <c r="E54" s="48">
        <v>0.03</v>
      </c>
      <c r="F54" s="46"/>
      <c r="G54" s="46"/>
      <c r="H54" s="46">
        <f>(H49-$D52)*$E54</f>
        <v>781715.92371599982</v>
      </c>
      <c r="I54" s="46"/>
      <c r="J54" s="46"/>
      <c r="K54" s="46"/>
      <c r="L54" s="46"/>
      <c r="M54" s="46"/>
      <c r="N54" s="46"/>
      <c r="O54" s="46"/>
      <c r="P54" s="13"/>
      <c r="Q54" s="17"/>
      <c r="R54" s="17"/>
    </row>
    <row r="55" spans="1:18" x14ac:dyDescent="0.25">
      <c r="A55" s="9" t="s">
        <v>75</v>
      </c>
      <c r="B55" s="10"/>
      <c r="C55" s="11"/>
      <c r="D55" s="12"/>
      <c r="E55" s="6"/>
      <c r="F55" s="6">
        <f t="shared" ref="F55:G55" si="26">SUM(F50:F54)</f>
        <v>1096763.4959831999</v>
      </c>
      <c r="G55" s="6">
        <f t="shared" si="26"/>
        <v>1383747.9047019593</v>
      </c>
      <c r="H55" s="6">
        <f>SUM(H50:H54)</f>
        <v>4834269.606639999</v>
      </c>
      <c r="I55" s="6">
        <f t="shared" ref="I55:O55" si="27">SUM(I50:I54)</f>
        <v>1630971.8648680001</v>
      </c>
      <c r="J55" s="6">
        <f t="shared" si="27"/>
        <v>1080295.6546775999</v>
      </c>
      <c r="K55" s="6">
        <f t="shared" si="27"/>
        <v>677288.64180004783</v>
      </c>
      <c r="L55" s="6">
        <f t="shared" si="27"/>
        <v>624717.92027767934</v>
      </c>
      <c r="M55" s="6">
        <f t="shared" si="27"/>
        <v>622390.14561845863</v>
      </c>
      <c r="N55" s="6">
        <f t="shared" si="27"/>
        <v>594940.8883585732</v>
      </c>
      <c r="O55" s="6">
        <f t="shared" si="27"/>
        <v>669299.07260043884</v>
      </c>
      <c r="P55" s="1"/>
      <c r="Q55" s="17"/>
      <c r="R55" s="17"/>
    </row>
    <row r="56" spans="1:18" x14ac:dyDescent="0.25">
      <c r="A56" s="9" t="s">
        <v>76</v>
      </c>
      <c r="B56" s="10"/>
      <c r="C56" s="11"/>
      <c r="D56" s="12"/>
      <c r="E56" s="6"/>
      <c r="F56" s="6">
        <f>+F49-F55</f>
        <v>13253631.633616799</v>
      </c>
      <c r="G56" s="6">
        <f t="shared" ref="G56:O56" si="28">+G49-G55</f>
        <v>12966377.180378035</v>
      </c>
      <c r="H56" s="6">
        <f t="shared" si="28"/>
        <v>25732495.260559995</v>
      </c>
      <c r="I56" s="6">
        <f t="shared" si="28"/>
        <v>17576703.805532001</v>
      </c>
      <c r="J56" s="6">
        <f t="shared" si="28"/>
        <v>10444199.862122398</v>
      </c>
      <c r="K56" s="6">
        <f t="shared" si="28"/>
        <v>5932487.2057615099</v>
      </c>
      <c r="L56" s="6">
        <f t="shared" si="28"/>
        <v>5343951.5672549959</v>
      </c>
      <c r="M56" s="6">
        <f t="shared" si="28"/>
        <v>5317891.8460700614</v>
      </c>
      <c r="N56" s="6">
        <f t="shared" si="28"/>
        <v>5010594.0635752464</v>
      </c>
      <c r="O56" s="6">
        <f t="shared" si="28"/>
        <v>5843043.0042341808</v>
      </c>
      <c r="P56" s="13"/>
      <c r="Q56" s="17"/>
      <c r="R56" s="17"/>
    </row>
    <row r="57" spans="1:18" x14ac:dyDescent="0.25">
      <c r="A57" s="8" t="s">
        <v>50</v>
      </c>
      <c r="B57" s="42"/>
      <c r="C57" s="43"/>
      <c r="D57" s="44">
        <v>7003.68</v>
      </c>
      <c r="E57" s="49">
        <v>0.1077</v>
      </c>
      <c r="F57" s="46">
        <f>+(F$47-$D57)*$E57</f>
        <v>462906.97030137602</v>
      </c>
      <c r="G57" s="46">
        <f t="shared" ref="G57:O60" si="29">+(G$47-$D57)*$E57</f>
        <v>462898.24516293471</v>
      </c>
      <c r="H57" s="46">
        <f t="shared" si="29"/>
        <v>986857.87652323185</v>
      </c>
      <c r="I57" s="46">
        <f t="shared" si="29"/>
        <v>619845.70457462408</v>
      </c>
      <c r="J57" s="46">
        <f t="shared" si="29"/>
        <v>371602.15381180798</v>
      </c>
      <c r="K57" s="46">
        <f t="shared" si="29"/>
        <v>212807.56129871393</v>
      </c>
      <c r="L57" s="46">
        <f t="shared" si="29"/>
        <v>192093.41480618075</v>
      </c>
      <c r="M57" s="46">
        <f t="shared" si="29"/>
        <v>191176.2148154561</v>
      </c>
      <c r="N57" s="46">
        <f t="shared" si="29"/>
        <v>180360.53796098172</v>
      </c>
      <c r="O57" s="46">
        <f t="shared" si="29"/>
        <v>209659.47616652658</v>
      </c>
      <c r="P57" s="13"/>
      <c r="Q57" s="17"/>
      <c r="R57" s="17"/>
    </row>
    <row r="58" spans="1:18" x14ac:dyDescent="0.25">
      <c r="A58" s="8" t="s">
        <v>51</v>
      </c>
      <c r="B58" s="42"/>
      <c r="C58" s="43"/>
      <c r="D58" s="44">
        <v>7003.68</v>
      </c>
      <c r="E58" s="49">
        <v>1.5900000000000001E-2</v>
      </c>
      <c r="F58" s="46">
        <f t="shared" ref="F58:F60" si="30">+(F$47-$D58)*$E58</f>
        <v>68340.02625619201</v>
      </c>
      <c r="G58" s="46">
        <f t="shared" si="29"/>
        <v>68338.738143831593</v>
      </c>
      <c r="H58" s="46">
        <f t="shared" si="29"/>
        <v>145692.10990454399</v>
      </c>
      <c r="I58" s="46">
        <f t="shared" si="29"/>
        <v>91509.254435808019</v>
      </c>
      <c r="J58" s="46">
        <f t="shared" si="29"/>
        <v>54860.485103135994</v>
      </c>
      <c r="K58" s="46">
        <f t="shared" si="29"/>
        <v>31417.27228086863</v>
      </c>
      <c r="L58" s="46">
        <f t="shared" si="29"/>
        <v>28359.194943530863</v>
      </c>
      <c r="M58" s="46">
        <f t="shared" si="29"/>
        <v>28223.786588354244</v>
      </c>
      <c r="N58" s="46">
        <f t="shared" si="29"/>
        <v>26627.043208724321</v>
      </c>
      <c r="O58" s="46">
        <f t="shared" si="29"/>
        <v>30952.513194501138</v>
      </c>
      <c r="P58" s="13"/>
      <c r="Q58" s="17"/>
      <c r="R58" s="17"/>
    </row>
    <row r="59" spans="1:18" x14ac:dyDescent="0.25">
      <c r="A59" s="8" t="s">
        <v>53</v>
      </c>
      <c r="B59" s="42"/>
      <c r="C59" s="43"/>
      <c r="D59" s="44">
        <v>7003.68</v>
      </c>
      <c r="E59" s="49">
        <v>4.7E-2</v>
      </c>
      <c r="F59" s="46">
        <f t="shared" si="30"/>
        <v>202011.39836736</v>
      </c>
      <c r="G59" s="46">
        <f t="shared" si="29"/>
        <v>202007.59073962795</v>
      </c>
      <c r="H59" s="46">
        <f t="shared" si="29"/>
        <v>430662.21166751994</v>
      </c>
      <c r="I59" s="46">
        <f t="shared" si="29"/>
        <v>270499.05399264005</v>
      </c>
      <c r="J59" s="46">
        <f t="shared" si="29"/>
        <v>162166.21382687998</v>
      </c>
      <c r="K59" s="46">
        <f t="shared" si="29"/>
        <v>92868.666490617965</v>
      </c>
      <c r="L59" s="46">
        <f t="shared" si="29"/>
        <v>83829.066814210732</v>
      </c>
      <c r="M59" s="46">
        <f t="shared" si="29"/>
        <v>83428.803122808138</v>
      </c>
      <c r="N59" s="46">
        <f t="shared" si="29"/>
        <v>78708.86986226686</v>
      </c>
      <c r="O59" s="46">
        <f t="shared" si="29"/>
        <v>91494.85032336814</v>
      </c>
      <c r="P59" s="13"/>
      <c r="Q59" s="17"/>
      <c r="R59" s="17"/>
    </row>
    <row r="60" spans="1:18" x14ac:dyDescent="0.25">
      <c r="A60" s="8" t="s">
        <v>68</v>
      </c>
      <c r="B60" s="42"/>
      <c r="C60" s="43"/>
      <c r="D60" s="44">
        <v>7003.68</v>
      </c>
      <c r="E60" s="49">
        <v>9.4000000000000004E-3</v>
      </c>
      <c r="F60" s="46">
        <f t="shared" si="30"/>
        <v>40402.279673472003</v>
      </c>
      <c r="G60" s="46">
        <f t="shared" si="29"/>
        <v>40401.518147925592</v>
      </c>
      <c r="H60" s="46">
        <f t="shared" si="29"/>
        <v>86132.44233350399</v>
      </c>
      <c r="I60" s="46">
        <f t="shared" si="29"/>
        <v>54099.810798528008</v>
      </c>
      <c r="J60" s="46">
        <f t="shared" si="29"/>
        <v>32433.242765375995</v>
      </c>
      <c r="K60" s="46">
        <f t="shared" si="29"/>
        <v>18573.733298123592</v>
      </c>
      <c r="L60" s="46">
        <f t="shared" si="29"/>
        <v>16765.813362842146</v>
      </c>
      <c r="M60" s="46">
        <f t="shared" si="29"/>
        <v>16685.760624561626</v>
      </c>
      <c r="N60" s="46">
        <f t="shared" si="29"/>
        <v>15741.773972453373</v>
      </c>
      <c r="O60" s="46">
        <f t="shared" si="29"/>
        <v>18298.970064673627</v>
      </c>
      <c r="P60" s="13"/>
      <c r="Q60" s="17"/>
      <c r="R60" s="17"/>
    </row>
    <row r="61" spans="1:18" x14ac:dyDescent="0.25">
      <c r="A61" s="8" t="s">
        <v>78</v>
      </c>
      <c r="B61" s="42"/>
      <c r="C61" s="43"/>
      <c r="D61" s="44"/>
      <c r="E61" s="49">
        <v>0.02</v>
      </c>
      <c r="F61" s="46">
        <f>+F$47*$E61</f>
        <v>86102.370777599994</v>
      </c>
      <c r="G61" s="46">
        <f t="shared" ref="G61:O61" si="31">+G$47*$E61</f>
        <v>86100.750510479978</v>
      </c>
      <c r="H61" s="46">
        <f t="shared" si="31"/>
        <v>183400.58920319998</v>
      </c>
      <c r="I61" s="46">
        <f t="shared" si="31"/>
        <v>115246.05402240001</v>
      </c>
      <c r="J61" s="46">
        <f t="shared" si="31"/>
        <v>69146.973100799994</v>
      </c>
      <c r="K61" s="46">
        <f t="shared" si="31"/>
        <v>39658.655085369348</v>
      </c>
      <c r="L61" s="46">
        <f t="shared" si="31"/>
        <v>35812.016925196054</v>
      </c>
      <c r="M61" s="46">
        <f t="shared" si="31"/>
        <v>35641.69195013112</v>
      </c>
      <c r="N61" s="46">
        <f t="shared" si="31"/>
        <v>33633.209711602918</v>
      </c>
      <c r="O61" s="46">
        <f t="shared" si="31"/>
        <v>39074.052461007719</v>
      </c>
      <c r="P61" s="13"/>
      <c r="Q61" s="17"/>
      <c r="R61" s="17"/>
    </row>
    <row r="62" spans="1:18" x14ac:dyDescent="0.25">
      <c r="A62" s="8" t="s">
        <v>66</v>
      </c>
      <c r="B62" s="42"/>
      <c r="C62" s="43"/>
      <c r="D62" s="44"/>
      <c r="E62" s="49">
        <v>0.06</v>
      </c>
      <c r="F62" s="46">
        <f>+F$49*$E62</f>
        <v>861023.70777599991</v>
      </c>
      <c r="G62" s="46">
        <f t="shared" ref="G62:O63" si="32">+G$49*$E62</f>
        <v>861007.50510479964</v>
      </c>
      <c r="H62" s="46">
        <f t="shared" si="32"/>
        <v>1834005.8920319995</v>
      </c>
      <c r="I62" s="46">
        <f t="shared" si="32"/>
        <v>1152460.5402240001</v>
      </c>
      <c r="J62" s="46">
        <f t="shared" si="32"/>
        <v>691469.73100799986</v>
      </c>
      <c r="K62" s="46">
        <f t="shared" si="32"/>
        <v>396586.55085369345</v>
      </c>
      <c r="L62" s="46">
        <f t="shared" si="32"/>
        <v>358120.16925196053</v>
      </c>
      <c r="M62" s="46">
        <f t="shared" si="32"/>
        <v>356416.91950131115</v>
      </c>
      <c r="N62" s="46">
        <f t="shared" si="32"/>
        <v>336332.09711602918</v>
      </c>
      <c r="O62" s="46">
        <f t="shared" si="32"/>
        <v>390740.52461007721</v>
      </c>
      <c r="P62" s="13"/>
      <c r="Q62" s="17"/>
      <c r="R62" s="17"/>
    </row>
    <row r="63" spans="1:18" x14ac:dyDescent="0.25">
      <c r="A63" s="8" t="s">
        <v>20</v>
      </c>
      <c r="B63" s="42"/>
      <c r="C63" s="43"/>
      <c r="D63" s="44"/>
      <c r="E63" s="49">
        <v>7.3999999999999996E-2</v>
      </c>
      <c r="F63" s="46">
        <f>+F$49*$E63</f>
        <v>1061929.2395903999</v>
      </c>
      <c r="G63" s="46">
        <f t="shared" si="32"/>
        <v>1061909.2562959194</v>
      </c>
      <c r="H63" s="46">
        <f t="shared" si="32"/>
        <v>2261940.6001727995</v>
      </c>
      <c r="I63" s="46">
        <f t="shared" si="32"/>
        <v>1421367.9996096001</v>
      </c>
      <c r="J63" s="46">
        <f t="shared" si="32"/>
        <v>852812.66824319982</v>
      </c>
      <c r="K63" s="46">
        <f t="shared" si="32"/>
        <v>489123.41271955526</v>
      </c>
      <c r="L63" s="46">
        <f t="shared" si="32"/>
        <v>441681.54207741795</v>
      </c>
      <c r="M63" s="46">
        <f t="shared" si="32"/>
        <v>439580.86738495046</v>
      </c>
      <c r="N63" s="46">
        <f t="shared" si="32"/>
        <v>414809.58644310263</v>
      </c>
      <c r="O63" s="46">
        <f t="shared" si="32"/>
        <v>481913.31368576188</v>
      </c>
      <c r="P63" s="13"/>
      <c r="Q63" s="17"/>
      <c r="R63" s="17"/>
    </row>
    <row r="64" spans="1:18" x14ac:dyDescent="0.25">
      <c r="A64" s="8" t="s">
        <v>69</v>
      </c>
      <c r="B64" s="42"/>
      <c r="C64" s="43"/>
      <c r="D64" s="44">
        <v>1827</v>
      </c>
      <c r="E64" s="49"/>
      <c r="F64" s="46">
        <f>+$D64</f>
        <v>1827</v>
      </c>
      <c r="G64" s="46">
        <f t="shared" ref="G64:O65" si="33">+$D64</f>
        <v>1827</v>
      </c>
      <c r="H64" s="46">
        <f t="shared" si="33"/>
        <v>1827</v>
      </c>
      <c r="I64" s="46">
        <f t="shared" si="33"/>
        <v>1827</v>
      </c>
      <c r="J64" s="46">
        <f t="shared" si="33"/>
        <v>1827</v>
      </c>
      <c r="K64" s="46">
        <f t="shared" si="33"/>
        <v>1827</v>
      </c>
      <c r="L64" s="46">
        <f t="shared" si="33"/>
        <v>1827</v>
      </c>
      <c r="M64" s="46">
        <f t="shared" si="33"/>
        <v>1827</v>
      </c>
      <c r="N64" s="46">
        <f t="shared" si="33"/>
        <v>1827</v>
      </c>
      <c r="O64" s="46">
        <f t="shared" si="33"/>
        <v>1827</v>
      </c>
      <c r="P64" s="13"/>
      <c r="Q64" s="17"/>
      <c r="R64" s="17"/>
    </row>
    <row r="65" spans="1:18" x14ac:dyDescent="0.25">
      <c r="A65" s="8" t="s">
        <v>79</v>
      </c>
      <c r="B65" s="42"/>
      <c r="C65" s="43"/>
      <c r="D65" s="44">
        <v>424.62</v>
      </c>
      <c r="E65" s="49"/>
      <c r="F65" s="46">
        <f>+$D65</f>
        <v>424.62</v>
      </c>
      <c r="G65" s="46">
        <f t="shared" si="33"/>
        <v>424.62</v>
      </c>
      <c r="H65" s="46">
        <f t="shared" si="33"/>
        <v>424.62</v>
      </c>
      <c r="I65" s="46">
        <f t="shared" si="33"/>
        <v>424.62</v>
      </c>
      <c r="J65" s="46">
        <f t="shared" si="33"/>
        <v>424.62</v>
      </c>
      <c r="K65" s="46">
        <f t="shared" si="33"/>
        <v>424.62</v>
      </c>
      <c r="L65" s="46">
        <f t="shared" si="33"/>
        <v>424.62</v>
      </c>
      <c r="M65" s="46">
        <f t="shared" si="33"/>
        <v>424.62</v>
      </c>
      <c r="N65" s="46">
        <f t="shared" si="33"/>
        <v>424.62</v>
      </c>
      <c r="O65" s="46">
        <f t="shared" si="33"/>
        <v>424.62</v>
      </c>
      <c r="P65" s="13"/>
      <c r="Q65" s="17"/>
      <c r="R65" s="17"/>
    </row>
    <row r="66" spans="1:18" x14ac:dyDescent="0.25">
      <c r="A66" s="8" t="s">
        <v>70</v>
      </c>
      <c r="B66" s="42"/>
      <c r="C66" s="43"/>
      <c r="D66" s="89">
        <v>15</v>
      </c>
      <c r="E66" s="49"/>
      <c r="F66" s="46"/>
      <c r="G66" s="46"/>
      <c r="H66" s="46"/>
      <c r="I66" s="46"/>
      <c r="J66" s="46">
        <f>+$D66*$C$9</f>
        <v>21900</v>
      </c>
      <c r="K66" s="46">
        <f t="shared" ref="K66:O66" si="34">+$D66*$C$9</f>
        <v>21900</v>
      </c>
      <c r="L66" s="46">
        <f t="shared" si="34"/>
        <v>21900</v>
      </c>
      <c r="M66" s="46">
        <f t="shared" si="34"/>
        <v>21900</v>
      </c>
      <c r="N66" s="46">
        <f t="shared" si="34"/>
        <v>21900</v>
      </c>
      <c r="O66" s="46">
        <f t="shared" si="34"/>
        <v>21900</v>
      </c>
      <c r="P66" s="13"/>
      <c r="Q66" s="17"/>
      <c r="R66" s="17"/>
    </row>
    <row r="67" spans="1:18" x14ac:dyDescent="0.25">
      <c r="A67" s="8"/>
      <c r="B67" s="110"/>
      <c r="C67" s="110"/>
      <c r="D67" s="111"/>
      <c r="E67" s="49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13"/>
      <c r="Q67" s="17"/>
      <c r="R67" s="17"/>
    </row>
    <row r="68" spans="1:18" x14ac:dyDescent="0.25">
      <c r="A68" s="9" t="s">
        <v>71</v>
      </c>
      <c r="B68" s="10"/>
      <c r="C68" s="11"/>
      <c r="D68" s="12"/>
      <c r="E68" s="6"/>
      <c r="F68" s="6">
        <f t="shared" ref="F68:O68" si="35">SUM(F57:F67)</f>
        <v>2784967.6127423998</v>
      </c>
      <c r="G68" s="6">
        <f t="shared" si="35"/>
        <v>2784915.2241055192</v>
      </c>
      <c r="H68" s="6">
        <f t="shared" si="35"/>
        <v>5930943.3418367999</v>
      </c>
      <c r="I68" s="6">
        <f t="shared" si="35"/>
        <v>3727280.0376576008</v>
      </c>
      <c r="J68" s="6">
        <f t="shared" si="35"/>
        <v>2258643.0878591994</v>
      </c>
      <c r="K68" s="6">
        <f t="shared" si="35"/>
        <v>1305187.4720269423</v>
      </c>
      <c r="L68" s="6">
        <f t="shared" si="35"/>
        <v>1180812.8381813392</v>
      </c>
      <c r="M68" s="6">
        <f t="shared" si="35"/>
        <v>1175305.663987573</v>
      </c>
      <c r="N68" s="6">
        <f t="shared" si="35"/>
        <v>1110364.7382751612</v>
      </c>
      <c r="O68" s="6">
        <f t="shared" si="35"/>
        <v>1286285.3205059166</v>
      </c>
      <c r="P68" s="1"/>
      <c r="Q68" s="17"/>
      <c r="R68" s="17"/>
    </row>
    <row r="69" spans="1:18" x14ac:dyDescent="0.25">
      <c r="A69" s="9" t="s">
        <v>77</v>
      </c>
      <c r="B69" s="10"/>
      <c r="C69" s="11"/>
      <c r="D69" s="12"/>
      <c r="E69" s="6"/>
      <c r="F69" s="6">
        <f t="shared" ref="F69:O69" si="36">+F49+F68</f>
        <v>17135362.742342398</v>
      </c>
      <c r="G69" s="6">
        <f t="shared" si="36"/>
        <v>17135040.309185512</v>
      </c>
      <c r="H69" s="6">
        <f t="shared" si="36"/>
        <v>36497708.209036797</v>
      </c>
      <c r="I69" s="6">
        <f t="shared" si="36"/>
        <v>22934955.708057601</v>
      </c>
      <c r="J69" s="6">
        <f t="shared" si="36"/>
        <v>13783138.604659196</v>
      </c>
      <c r="K69" s="6">
        <f t="shared" si="36"/>
        <v>7914963.3195885001</v>
      </c>
      <c r="L69" s="6">
        <f t="shared" si="36"/>
        <v>7149482.3257140145</v>
      </c>
      <c r="M69" s="6">
        <f t="shared" si="36"/>
        <v>7115587.655676093</v>
      </c>
      <c r="N69" s="6">
        <f t="shared" si="36"/>
        <v>6715899.6902089808</v>
      </c>
      <c r="O69" s="6">
        <f t="shared" si="36"/>
        <v>7798627.3973405361</v>
      </c>
      <c r="P69" s="1"/>
      <c r="Q69" s="17"/>
      <c r="R69" s="17"/>
    </row>
  </sheetData>
  <mergeCells count="4">
    <mergeCell ref="C13:H13"/>
    <mergeCell ref="J13:O13"/>
    <mergeCell ref="B67:D67"/>
    <mergeCell ref="P13:T13"/>
  </mergeCells>
  <phoneticPr fontId="9" type="noConversion"/>
  <pageMargins left="0.75" right="0.75" top="0.63" bottom="0.79" header="0" footer="0"/>
  <pageSetup paperSize="5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3C20-1B97-4394-868D-628052BDB6AD}">
  <dimension ref="A1:K35"/>
  <sheetViews>
    <sheetView topLeftCell="A2" workbookViewId="0">
      <selection activeCell="F32" sqref="F23:F32"/>
    </sheetView>
  </sheetViews>
  <sheetFormatPr baseColWidth="10" defaultRowHeight="15" x14ac:dyDescent="0.25"/>
  <cols>
    <col min="2" max="2" width="34" bestFit="1" customWidth="1"/>
    <col min="3" max="3" width="37.7109375" bestFit="1" customWidth="1"/>
    <col min="4" max="4" width="19.85546875" bestFit="1" customWidth="1"/>
    <col min="5" max="5" width="11.7109375" bestFit="1" customWidth="1"/>
    <col min="8" max="8" width="11.7109375" bestFit="1" customWidth="1"/>
  </cols>
  <sheetData>
    <row r="1" spans="1:11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</row>
    <row r="2" spans="1:11" x14ac:dyDescent="0.25">
      <c r="A2">
        <v>15</v>
      </c>
      <c r="B2">
        <v>1013</v>
      </c>
      <c r="C2" t="s">
        <v>155</v>
      </c>
      <c r="D2" t="s">
        <v>156</v>
      </c>
      <c r="E2">
        <v>9</v>
      </c>
      <c r="F2" t="s">
        <v>157</v>
      </c>
      <c r="G2">
        <v>0</v>
      </c>
      <c r="H2" s="101">
        <v>85617</v>
      </c>
      <c r="I2" s="102">
        <v>44938</v>
      </c>
      <c r="J2" t="s">
        <v>158</v>
      </c>
      <c r="K2" t="s">
        <v>159</v>
      </c>
    </row>
    <row r="3" spans="1:11" x14ac:dyDescent="0.25">
      <c r="A3">
        <v>20</v>
      </c>
      <c r="B3">
        <v>1803</v>
      </c>
      <c r="C3" t="s">
        <v>280</v>
      </c>
      <c r="D3" t="s">
        <v>156</v>
      </c>
      <c r="E3">
        <v>8</v>
      </c>
      <c r="F3" t="s">
        <v>281</v>
      </c>
      <c r="G3" s="101">
        <v>2432.33</v>
      </c>
      <c r="H3" s="101">
        <v>19458.64</v>
      </c>
      <c r="I3" s="102">
        <v>44938</v>
      </c>
    </row>
    <row r="4" spans="1:11" x14ac:dyDescent="0.25">
      <c r="A4">
        <v>25</v>
      </c>
      <c r="B4">
        <v>1813</v>
      </c>
      <c r="C4" t="s">
        <v>282</v>
      </c>
      <c r="D4" t="s">
        <v>156</v>
      </c>
      <c r="E4">
        <v>3</v>
      </c>
      <c r="F4" t="s">
        <v>281</v>
      </c>
      <c r="G4" s="101">
        <v>3243.11</v>
      </c>
      <c r="H4" s="101">
        <v>9729.33</v>
      </c>
      <c r="I4" s="102">
        <v>44938</v>
      </c>
    </row>
    <row r="5" spans="1:11" x14ac:dyDescent="0.25">
      <c r="A5">
        <v>50</v>
      </c>
      <c r="B5">
        <v>1053</v>
      </c>
      <c r="C5" t="s">
        <v>160</v>
      </c>
      <c r="D5" t="s">
        <v>156</v>
      </c>
      <c r="E5" s="103">
        <v>0</v>
      </c>
      <c r="G5">
        <v>0</v>
      </c>
      <c r="H5" s="101">
        <v>26160.75</v>
      </c>
      <c r="I5" s="102">
        <v>44938</v>
      </c>
      <c r="J5" t="s">
        <v>258</v>
      </c>
      <c r="K5" t="s">
        <v>259</v>
      </c>
    </row>
    <row r="6" spans="1:11" x14ac:dyDescent="0.25">
      <c r="A6">
        <v>80</v>
      </c>
      <c r="B6">
        <v>1083</v>
      </c>
      <c r="C6" t="s">
        <v>163</v>
      </c>
      <c r="D6" t="s">
        <v>156</v>
      </c>
      <c r="E6" s="103">
        <v>2</v>
      </c>
      <c r="F6" t="s">
        <v>157</v>
      </c>
      <c r="G6">
        <v>0</v>
      </c>
      <c r="H6" s="101">
        <v>55016.4</v>
      </c>
      <c r="I6" s="102">
        <v>44938</v>
      </c>
      <c r="J6" t="s">
        <v>164</v>
      </c>
      <c r="K6" t="s">
        <v>165</v>
      </c>
    </row>
    <row r="7" spans="1:11" x14ac:dyDescent="0.25">
      <c r="A7">
        <v>141</v>
      </c>
      <c r="B7">
        <v>2403</v>
      </c>
      <c r="C7" t="s">
        <v>166</v>
      </c>
      <c r="D7" t="s">
        <v>156</v>
      </c>
      <c r="E7" s="103">
        <v>35676</v>
      </c>
      <c r="F7" t="s">
        <v>167</v>
      </c>
      <c r="G7">
        <v>0</v>
      </c>
      <c r="H7" s="101">
        <v>668859.06999999995</v>
      </c>
      <c r="I7" s="102">
        <v>44938</v>
      </c>
      <c r="J7" t="s">
        <v>260</v>
      </c>
      <c r="K7" t="s">
        <v>169</v>
      </c>
    </row>
    <row r="8" spans="1:11" x14ac:dyDescent="0.25">
      <c r="A8">
        <v>142</v>
      </c>
      <c r="B8">
        <v>2413</v>
      </c>
      <c r="C8" t="s">
        <v>170</v>
      </c>
      <c r="D8" t="s">
        <v>156</v>
      </c>
      <c r="E8" s="103">
        <v>34392</v>
      </c>
      <c r="F8" t="s">
        <v>167</v>
      </c>
      <c r="G8">
        <v>0</v>
      </c>
      <c r="H8" s="101">
        <v>611435.42000000004</v>
      </c>
      <c r="I8" s="102">
        <v>44938</v>
      </c>
      <c r="J8" t="s">
        <v>261</v>
      </c>
      <c r="K8" t="s">
        <v>172</v>
      </c>
    </row>
    <row r="9" spans="1:11" x14ac:dyDescent="0.25">
      <c r="A9">
        <v>147</v>
      </c>
      <c r="B9">
        <v>2463</v>
      </c>
      <c r="C9" t="s">
        <v>173</v>
      </c>
      <c r="D9" t="s">
        <v>156</v>
      </c>
      <c r="E9" s="103">
        <v>21996</v>
      </c>
      <c r="F9" t="s">
        <v>167</v>
      </c>
      <c r="G9">
        <v>0</v>
      </c>
      <c r="H9" s="101">
        <v>319953.38</v>
      </c>
      <c r="I9" s="102">
        <v>44938</v>
      </c>
      <c r="J9" t="s">
        <v>262</v>
      </c>
      <c r="K9" t="s">
        <v>175</v>
      </c>
    </row>
    <row r="10" spans="1:11" x14ac:dyDescent="0.25">
      <c r="A10">
        <v>151</v>
      </c>
      <c r="B10">
        <v>1093</v>
      </c>
      <c r="C10" t="s">
        <v>176</v>
      </c>
      <c r="D10" t="s">
        <v>156</v>
      </c>
      <c r="E10">
        <v>0</v>
      </c>
      <c r="G10">
        <v>0</v>
      </c>
      <c r="H10" s="101">
        <v>92430.98</v>
      </c>
      <c r="I10" s="102">
        <v>44938</v>
      </c>
      <c r="J10" t="s">
        <v>263</v>
      </c>
      <c r="K10" t="s">
        <v>178</v>
      </c>
    </row>
    <row r="11" spans="1:11" x14ac:dyDescent="0.25">
      <c r="A11">
        <v>155</v>
      </c>
      <c r="B11">
        <v>1543</v>
      </c>
      <c r="C11" t="s">
        <v>179</v>
      </c>
      <c r="D11" t="s">
        <v>156</v>
      </c>
      <c r="E11">
        <v>0</v>
      </c>
      <c r="G11">
        <v>0</v>
      </c>
      <c r="H11" s="101">
        <v>51370.2</v>
      </c>
      <c r="I11" s="102">
        <v>44938</v>
      </c>
      <c r="J11" t="s">
        <v>264</v>
      </c>
      <c r="K11" t="s">
        <v>265</v>
      </c>
    </row>
    <row r="12" spans="1:11" x14ac:dyDescent="0.25">
      <c r="A12">
        <v>157</v>
      </c>
      <c r="B12">
        <v>1023</v>
      </c>
      <c r="C12" t="s">
        <v>266</v>
      </c>
      <c r="D12" t="s">
        <v>156</v>
      </c>
      <c r="E12">
        <v>1</v>
      </c>
      <c r="F12" t="s">
        <v>157</v>
      </c>
      <c r="G12">
        <v>0</v>
      </c>
      <c r="H12" s="101">
        <v>165310.20000000001</v>
      </c>
      <c r="I12" s="102">
        <v>44938</v>
      </c>
      <c r="J12" t="s">
        <v>267</v>
      </c>
      <c r="K12" t="s">
        <v>268</v>
      </c>
    </row>
    <row r="13" spans="1:11" x14ac:dyDescent="0.25">
      <c r="A13">
        <v>160</v>
      </c>
      <c r="B13">
        <v>1547</v>
      </c>
      <c r="C13" t="s">
        <v>182</v>
      </c>
      <c r="D13" t="s">
        <v>156</v>
      </c>
      <c r="E13">
        <v>0</v>
      </c>
      <c r="G13">
        <v>0</v>
      </c>
      <c r="H13" s="101">
        <v>163.93</v>
      </c>
      <c r="I13" s="102">
        <v>44938</v>
      </c>
      <c r="J13" t="s">
        <v>269</v>
      </c>
      <c r="K13" t="s">
        <v>270</v>
      </c>
    </row>
    <row r="14" spans="1:11" x14ac:dyDescent="0.25">
      <c r="A14">
        <v>205</v>
      </c>
      <c r="B14">
        <v>1174</v>
      </c>
      <c r="C14" t="s">
        <v>183</v>
      </c>
      <c r="D14" t="s">
        <v>156</v>
      </c>
      <c r="E14">
        <v>0</v>
      </c>
      <c r="G14">
        <v>0</v>
      </c>
      <c r="H14" s="101">
        <v>53249.82</v>
      </c>
      <c r="I14" s="102">
        <v>44938</v>
      </c>
      <c r="J14" t="s">
        <v>184</v>
      </c>
      <c r="K14" t="s">
        <v>185</v>
      </c>
    </row>
    <row r="15" spans="1:11" x14ac:dyDescent="0.25">
      <c r="A15">
        <v>665</v>
      </c>
      <c r="B15">
        <v>4813</v>
      </c>
      <c r="C15" t="s">
        <v>271</v>
      </c>
      <c r="D15" t="s">
        <v>191</v>
      </c>
      <c r="E15">
        <v>0</v>
      </c>
      <c r="G15">
        <v>0</v>
      </c>
      <c r="H15" s="101">
        <v>-250000</v>
      </c>
      <c r="I15" s="102">
        <v>44938</v>
      </c>
    </row>
    <row r="16" spans="1:11" x14ac:dyDescent="0.25">
      <c r="A16">
        <v>400</v>
      </c>
      <c r="B16">
        <v>4415</v>
      </c>
      <c r="C16" t="s">
        <v>186</v>
      </c>
      <c r="D16" t="s">
        <v>187</v>
      </c>
      <c r="E16">
        <v>0</v>
      </c>
      <c r="G16">
        <v>0</v>
      </c>
      <c r="H16" s="101">
        <v>-138866.82</v>
      </c>
      <c r="I16" s="102">
        <v>44938</v>
      </c>
      <c r="J16" t="s">
        <v>188</v>
      </c>
      <c r="K16" t="s">
        <v>189</v>
      </c>
    </row>
    <row r="18" spans="2:8" x14ac:dyDescent="0.25">
      <c r="B18" t="s">
        <v>54</v>
      </c>
      <c r="C18" t="s">
        <v>226</v>
      </c>
      <c r="D18" s="101">
        <v>85618.08</v>
      </c>
      <c r="E18" s="101">
        <f>+H2</f>
        <v>85617</v>
      </c>
      <c r="F18" s="101">
        <f>+D18-E18</f>
        <v>1.0800000000017462</v>
      </c>
      <c r="H18" s="101"/>
    </row>
    <row r="19" spans="2:8" x14ac:dyDescent="0.25">
      <c r="B19" t="s">
        <v>55</v>
      </c>
      <c r="C19" t="s">
        <v>227</v>
      </c>
      <c r="D19" s="101">
        <v>55016.24</v>
      </c>
      <c r="E19" s="101">
        <f>+H6</f>
        <v>55016.4</v>
      </c>
      <c r="F19" s="101">
        <f t="shared" ref="F19:F32" si="0">+D19-E19</f>
        <v>-0.16000000000349246</v>
      </c>
      <c r="H19" s="101"/>
    </row>
    <row r="20" spans="2:8" x14ac:dyDescent="0.25">
      <c r="B20" t="s">
        <v>272</v>
      </c>
      <c r="D20" s="101">
        <v>51370.85</v>
      </c>
      <c r="E20" s="101">
        <f>+H11</f>
        <v>51370.2</v>
      </c>
      <c r="F20" s="101">
        <f t="shared" si="0"/>
        <v>0.65000000000145519</v>
      </c>
      <c r="H20" s="101"/>
    </row>
    <row r="21" spans="2:8" x14ac:dyDescent="0.25">
      <c r="B21" t="s">
        <v>273</v>
      </c>
      <c r="C21">
        <v>8</v>
      </c>
      <c r="D21" s="101">
        <v>19458.650000000001</v>
      </c>
      <c r="E21" s="101">
        <f>+H3</f>
        <v>19458.64</v>
      </c>
      <c r="F21" s="101">
        <f t="shared" si="0"/>
        <v>1.0000000002037268E-2</v>
      </c>
      <c r="H21" s="101"/>
    </row>
    <row r="22" spans="2:8" x14ac:dyDescent="0.25">
      <c r="B22" t="s">
        <v>274</v>
      </c>
      <c r="C22">
        <v>3</v>
      </c>
      <c r="D22" s="101">
        <v>9729.33</v>
      </c>
      <c r="E22" s="101">
        <f>+H4</f>
        <v>9729.33</v>
      </c>
      <c r="F22" s="101">
        <f t="shared" si="0"/>
        <v>0</v>
      </c>
      <c r="H22" s="101"/>
    </row>
    <row r="23" spans="2:8" x14ac:dyDescent="0.25">
      <c r="B23" t="s">
        <v>275</v>
      </c>
      <c r="D23" s="101">
        <v>-29187.98</v>
      </c>
      <c r="F23" s="101">
        <f t="shared" si="0"/>
        <v>-29187.98</v>
      </c>
    </row>
    <row r="24" spans="2:8" x14ac:dyDescent="0.25">
      <c r="B24" t="s">
        <v>160</v>
      </c>
      <c r="C24" t="s">
        <v>230</v>
      </c>
      <c r="D24" s="101">
        <v>26161.08</v>
      </c>
      <c r="E24" s="101">
        <f>+H5</f>
        <v>26160.75</v>
      </c>
      <c r="F24" s="101">
        <f t="shared" si="0"/>
        <v>0.33000000000174623</v>
      </c>
    </row>
    <row r="25" spans="2:8" x14ac:dyDescent="0.25">
      <c r="B25" t="s">
        <v>57</v>
      </c>
      <c r="D25" s="101">
        <v>53247.5</v>
      </c>
      <c r="E25" s="101">
        <f>+H14</f>
        <v>53249.82</v>
      </c>
      <c r="F25" s="101">
        <f t="shared" si="0"/>
        <v>-2.319999999999709</v>
      </c>
    </row>
    <row r="26" spans="2:8" x14ac:dyDescent="0.25">
      <c r="B26" t="s">
        <v>244</v>
      </c>
      <c r="C26" t="s">
        <v>226</v>
      </c>
      <c r="D26">
        <v>163.93</v>
      </c>
      <c r="E26" s="101">
        <f>+H13</f>
        <v>163.93</v>
      </c>
      <c r="F26" s="101">
        <f t="shared" si="0"/>
        <v>0</v>
      </c>
    </row>
    <row r="27" spans="2:8" x14ac:dyDescent="0.25">
      <c r="B27" t="s">
        <v>276</v>
      </c>
      <c r="D27" s="101">
        <v>668858.85</v>
      </c>
      <c r="E27" s="101">
        <f>+H7</f>
        <v>668859.06999999995</v>
      </c>
      <c r="F27" s="101">
        <f t="shared" si="0"/>
        <v>-0.21999999997206032</v>
      </c>
    </row>
    <row r="28" spans="2:8" x14ac:dyDescent="0.25">
      <c r="B28" t="s">
        <v>277</v>
      </c>
      <c r="D28" s="101">
        <v>611435.74</v>
      </c>
      <c r="E28" s="101">
        <f t="shared" ref="E28:E29" si="1">+H8</f>
        <v>611435.42000000004</v>
      </c>
      <c r="F28" s="101">
        <f t="shared" si="0"/>
        <v>0.31999999994877726</v>
      </c>
    </row>
    <row r="29" spans="2:8" x14ac:dyDescent="0.25">
      <c r="B29" t="s">
        <v>278</v>
      </c>
      <c r="C29" t="s">
        <v>233</v>
      </c>
      <c r="D29" s="101">
        <v>319952.43</v>
      </c>
      <c r="E29" s="101">
        <f t="shared" si="1"/>
        <v>319953.38</v>
      </c>
      <c r="F29" s="101">
        <f t="shared" si="0"/>
        <v>-0.95000000001164153</v>
      </c>
    </row>
    <row r="30" spans="2:8" x14ac:dyDescent="0.25">
      <c r="B30" t="s">
        <v>248</v>
      </c>
      <c r="D30" s="101">
        <v>-138865.57999999999</v>
      </c>
      <c r="E30" s="101">
        <f>+H16</f>
        <v>-138866.82</v>
      </c>
      <c r="F30" s="101">
        <f t="shared" si="0"/>
        <v>1.2400000000197906</v>
      </c>
    </row>
    <row r="31" spans="2:8" x14ac:dyDescent="0.25">
      <c r="B31" t="s">
        <v>249</v>
      </c>
      <c r="C31" t="s">
        <v>234</v>
      </c>
      <c r="D31" s="101">
        <v>157541.74</v>
      </c>
      <c r="E31" s="101">
        <f>+H12</f>
        <v>165310.20000000001</v>
      </c>
      <c r="F31" s="101">
        <f t="shared" si="0"/>
        <v>-7768.460000000021</v>
      </c>
    </row>
    <row r="32" spans="2:8" x14ac:dyDescent="0.25">
      <c r="B32" t="s">
        <v>279</v>
      </c>
      <c r="D32" s="101">
        <v>92431.78</v>
      </c>
      <c r="E32" s="101">
        <f>+H10</f>
        <v>92430.98</v>
      </c>
      <c r="F32" s="101">
        <f t="shared" si="0"/>
        <v>0.80000000000291038</v>
      </c>
    </row>
    <row r="33" spans="2:6" x14ac:dyDescent="0.25">
      <c r="B33" t="s">
        <v>49</v>
      </c>
      <c r="D33" s="101">
        <v>1474415.9</v>
      </c>
    </row>
    <row r="34" spans="2:6" x14ac:dyDescent="0.25">
      <c r="D34" s="101">
        <f>SUM(D18:D33)</f>
        <v>3457348.54</v>
      </c>
      <c r="E34" s="101">
        <f>SUM(E18:E33)</f>
        <v>2019888.2999999998</v>
      </c>
    </row>
    <row r="35" spans="2:6" x14ac:dyDescent="0.25">
      <c r="E35" s="101">
        <f>+E34+D33</f>
        <v>3494304.1999999997</v>
      </c>
      <c r="F35" s="101">
        <f>+E35-D34</f>
        <v>36955.659999999683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DC17-490D-4948-9542-9088834F3DE0}">
  <dimension ref="A1:K32"/>
  <sheetViews>
    <sheetView workbookViewId="0"/>
  </sheetViews>
  <sheetFormatPr baseColWidth="10" defaultRowHeight="15" x14ac:dyDescent="0.25"/>
  <cols>
    <col min="1" max="1" width="8.5703125" bestFit="1" customWidth="1"/>
    <col min="2" max="2" width="19.85546875" bestFit="1" customWidth="1"/>
    <col min="3" max="3" width="15.28515625" bestFit="1" customWidth="1"/>
    <col min="4" max="4" width="5.85546875" bestFit="1" customWidth="1"/>
    <col min="5" max="5" width="5.7109375" bestFit="1" customWidth="1"/>
    <col min="6" max="7" width="8.28515625" bestFit="1" customWidth="1"/>
    <col min="8" max="8" width="7.7109375" bestFit="1" customWidth="1"/>
    <col min="9" max="9" width="9.42578125" bestFit="1" customWidth="1"/>
    <col min="10" max="10" width="9" bestFit="1" customWidth="1"/>
    <col min="11" max="11" width="10.7109375" bestFit="1" customWidth="1"/>
  </cols>
  <sheetData>
    <row r="1" spans="1:11" ht="25.5" thickBot="1" x14ac:dyDescent="0.3">
      <c r="A1" s="93" t="s">
        <v>86</v>
      </c>
      <c r="B1" s="93" t="s">
        <v>87</v>
      </c>
      <c r="C1" s="93" t="s">
        <v>88</v>
      </c>
      <c r="D1" s="93" t="s">
        <v>89</v>
      </c>
      <c r="E1" s="93" t="s">
        <v>90</v>
      </c>
      <c r="F1" s="93" t="s">
        <v>91</v>
      </c>
      <c r="G1" s="93" t="s">
        <v>92</v>
      </c>
      <c r="H1" s="93" t="s">
        <v>93</v>
      </c>
      <c r="I1" s="93" t="s">
        <v>94</v>
      </c>
      <c r="J1" s="93" t="s">
        <v>95</v>
      </c>
      <c r="K1" s="93" t="s">
        <v>96</v>
      </c>
    </row>
    <row r="2" spans="1:11" ht="16.5" thickBot="1" x14ac:dyDescent="0.3">
      <c r="A2" s="94">
        <v>406</v>
      </c>
      <c r="B2" s="94" t="s">
        <v>97</v>
      </c>
      <c r="C2" s="94" t="s">
        <v>98</v>
      </c>
      <c r="D2" s="94">
        <v>114</v>
      </c>
      <c r="E2" s="94">
        <v>311</v>
      </c>
      <c r="F2" s="94" t="s">
        <v>99</v>
      </c>
      <c r="G2" s="94" t="s">
        <v>100</v>
      </c>
      <c r="H2" s="94"/>
      <c r="I2" s="95">
        <v>46204</v>
      </c>
      <c r="J2" s="94"/>
      <c r="K2" s="96">
        <v>0</v>
      </c>
    </row>
    <row r="3" spans="1:11" ht="16.5" thickBot="1" x14ac:dyDescent="0.3">
      <c r="A3" s="94">
        <v>1541</v>
      </c>
      <c r="B3" s="94" t="s">
        <v>101</v>
      </c>
      <c r="C3" s="94" t="s">
        <v>98</v>
      </c>
      <c r="D3" s="94">
        <v>114</v>
      </c>
      <c r="E3" s="94">
        <v>311</v>
      </c>
      <c r="F3" s="94" t="s">
        <v>99</v>
      </c>
      <c r="G3" s="94" t="s">
        <v>102</v>
      </c>
      <c r="H3" s="94"/>
      <c r="I3" s="95">
        <v>46204</v>
      </c>
      <c r="J3" s="94"/>
      <c r="K3" s="96">
        <v>0</v>
      </c>
    </row>
    <row r="4" spans="1:11" ht="16.5" thickBot="1" x14ac:dyDescent="0.3">
      <c r="A4" s="94">
        <v>1588</v>
      </c>
      <c r="B4" s="94" t="s">
        <v>103</v>
      </c>
      <c r="C4" s="94" t="s">
        <v>98</v>
      </c>
      <c r="D4" s="94">
        <v>114</v>
      </c>
      <c r="E4" s="94">
        <v>311</v>
      </c>
      <c r="F4" s="94" t="s">
        <v>104</v>
      </c>
      <c r="G4" s="94" t="s">
        <v>105</v>
      </c>
      <c r="H4" s="94"/>
      <c r="I4" s="95">
        <v>46204</v>
      </c>
      <c r="J4" s="94"/>
      <c r="K4" s="96">
        <v>0</v>
      </c>
    </row>
    <row r="5" spans="1:11" ht="16.5" thickBot="1" x14ac:dyDescent="0.3">
      <c r="A5" s="94">
        <v>2262</v>
      </c>
      <c r="B5" s="94" t="s">
        <v>106</v>
      </c>
      <c r="C5" s="94" t="s">
        <v>98</v>
      </c>
      <c r="D5" s="94">
        <v>114</v>
      </c>
      <c r="E5" s="94">
        <v>311</v>
      </c>
      <c r="F5" s="94" t="s">
        <v>104</v>
      </c>
      <c r="G5" s="94" t="s">
        <v>107</v>
      </c>
      <c r="H5" s="94"/>
      <c r="I5" s="95">
        <v>46204</v>
      </c>
      <c r="J5" s="94"/>
      <c r="K5" s="96">
        <v>0</v>
      </c>
    </row>
    <row r="6" spans="1:11" ht="16.5" thickBot="1" x14ac:dyDescent="0.3">
      <c r="A6" s="94">
        <v>2320</v>
      </c>
      <c r="B6" s="94" t="s">
        <v>108</v>
      </c>
      <c r="C6" s="94" t="s">
        <v>98</v>
      </c>
      <c r="D6" s="94">
        <v>114</v>
      </c>
      <c r="E6" s="94">
        <v>311</v>
      </c>
      <c r="F6" s="94" t="s">
        <v>104</v>
      </c>
      <c r="G6" s="94" t="s">
        <v>109</v>
      </c>
      <c r="H6" s="94"/>
      <c r="I6" s="95">
        <v>46204</v>
      </c>
      <c r="J6" s="94"/>
      <c r="K6" s="96">
        <v>0</v>
      </c>
    </row>
    <row r="7" spans="1:11" ht="16.5" thickBot="1" x14ac:dyDescent="0.3">
      <c r="A7" s="94">
        <v>2470</v>
      </c>
      <c r="B7" s="94" t="s">
        <v>110</v>
      </c>
      <c r="C7" s="94" t="s">
        <v>98</v>
      </c>
      <c r="D7" s="94">
        <v>114</v>
      </c>
      <c r="E7" s="94">
        <v>311</v>
      </c>
      <c r="F7" s="94" t="s">
        <v>104</v>
      </c>
      <c r="G7" s="94" t="s">
        <v>107</v>
      </c>
      <c r="H7" s="94"/>
      <c r="I7" s="95">
        <v>46204</v>
      </c>
      <c r="J7" s="94"/>
      <c r="K7" s="96">
        <v>0</v>
      </c>
    </row>
    <row r="8" spans="1:11" ht="16.5" thickBot="1" x14ac:dyDescent="0.3">
      <c r="A8" s="94">
        <v>2668</v>
      </c>
      <c r="B8" s="94" t="s">
        <v>111</v>
      </c>
      <c r="C8" s="94" t="s">
        <v>98</v>
      </c>
      <c r="D8" s="94">
        <v>114</v>
      </c>
      <c r="E8" s="94">
        <v>311</v>
      </c>
      <c r="F8" s="94" t="s">
        <v>104</v>
      </c>
      <c r="G8" s="94" t="s">
        <v>107</v>
      </c>
      <c r="H8" s="94"/>
      <c r="I8" s="95">
        <v>46204</v>
      </c>
      <c r="J8" s="94"/>
      <c r="K8" s="96">
        <v>0</v>
      </c>
    </row>
    <row r="9" spans="1:11" ht="16.5" thickBot="1" x14ac:dyDescent="0.3">
      <c r="A9" s="94">
        <v>2741</v>
      </c>
      <c r="B9" s="94" t="s">
        <v>112</v>
      </c>
      <c r="C9" s="94" t="s">
        <v>98</v>
      </c>
      <c r="D9" s="94">
        <v>114</v>
      </c>
      <c r="E9" s="94">
        <v>311</v>
      </c>
      <c r="F9" s="94" t="s">
        <v>104</v>
      </c>
      <c r="G9" s="94" t="s">
        <v>107</v>
      </c>
      <c r="H9" s="94"/>
      <c r="I9" s="95">
        <v>46204</v>
      </c>
      <c r="J9" s="94"/>
      <c r="K9" s="96">
        <v>0</v>
      </c>
    </row>
    <row r="10" spans="1:11" ht="16.5" thickBot="1" x14ac:dyDescent="0.3">
      <c r="A10" s="94">
        <v>2742</v>
      </c>
      <c r="B10" s="94" t="s">
        <v>113</v>
      </c>
      <c r="C10" s="94" t="s">
        <v>98</v>
      </c>
      <c r="D10" s="94">
        <v>114</v>
      </c>
      <c r="E10" s="94">
        <v>311</v>
      </c>
      <c r="F10" s="94" t="s">
        <v>104</v>
      </c>
      <c r="G10" s="94" t="s">
        <v>107</v>
      </c>
      <c r="H10" s="94"/>
      <c r="I10" s="95">
        <v>46204</v>
      </c>
      <c r="J10" s="94"/>
      <c r="K10" s="96">
        <v>0</v>
      </c>
    </row>
    <row r="11" spans="1:11" ht="16.5" thickBot="1" x14ac:dyDescent="0.3">
      <c r="A11" s="94">
        <v>2744</v>
      </c>
      <c r="B11" s="94" t="s">
        <v>114</v>
      </c>
      <c r="C11" s="94" t="s">
        <v>98</v>
      </c>
      <c r="D11" s="94">
        <v>114</v>
      </c>
      <c r="E11" s="94">
        <v>311</v>
      </c>
      <c r="F11" s="94" t="s">
        <v>99</v>
      </c>
      <c r="G11" s="94" t="s">
        <v>100</v>
      </c>
      <c r="H11" s="94"/>
      <c r="I11" s="95">
        <v>46204</v>
      </c>
      <c r="J11" s="94"/>
      <c r="K11" s="96">
        <v>0</v>
      </c>
    </row>
    <row r="12" spans="1:11" ht="16.5" thickBot="1" x14ac:dyDescent="0.3">
      <c r="A12" s="94">
        <v>2745</v>
      </c>
      <c r="B12" s="94" t="s">
        <v>115</v>
      </c>
      <c r="C12" s="94" t="s">
        <v>98</v>
      </c>
      <c r="D12" s="94">
        <v>114</v>
      </c>
      <c r="E12" s="94">
        <v>311</v>
      </c>
      <c r="F12" s="94" t="s">
        <v>104</v>
      </c>
      <c r="G12" s="94" t="s">
        <v>107</v>
      </c>
      <c r="H12" s="94"/>
      <c r="I12" s="95">
        <v>46204</v>
      </c>
      <c r="J12" s="94"/>
      <c r="K12" s="96">
        <v>0</v>
      </c>
    </row>
    <row r="13" spans="1:11" ht="16.5" thickBot="1" x14ac:dyDescent="0.3">
      <c r="A13" s="94">
        <v>2792</v>
      </c>
      <c r="B13" s="94" t="s">
        <v>116</v>
      </c>
      <c r="C13" s="94" t="s">
        <v>98</v>
      </c>
      <c r="D13" s="94">
        <v>114</v>
      </c>
      <c r="E13" s="94">
        <v>311</v>
      </c>
      <c r="F13" s="94" t="s">
        <v>104</v>
      </c>
      <c r="G13" s="94" t="s">
        <v>117</v>
      </c>
      <c r="H13" s="94"/>
      <c r="I13" s="95">
        <v>46204</v>
      </c>
      <c r="J13" s="94"/>
      <c r="K13" s="96">
        <v>0</v>
      </c>
    </row>
    <row r="14" spans="1:11" ht="16.5" thickBot="1" x14ac:dyDescent="0.3">
      <c r="A14" s="94">
        <v>2962</v>
      </c>
      <c r="B14" s="94" t="s">
        <v>118</v>
      </c>
      <c r="C14" s="94" t="s">
        <v>98</v>
      </c>
      <c r="D14" s="94">
        <v>114</v>
      </c>
      <c r="E14" s="94">
        <v>311</v>
      </c>
      <c r="F14" s="94" t="s">
        <v>104</v>
      </c>
      <c r="G14" s="94" t="s">
        <v>107</v>
      </c>
      <c r="H14" s="94"/>
      <c r="I14" s="95">
        <v>46204</v>
      </c>
      <c r="J14" s="94"/>
      <c r="K14" s="96">
        <v>0</v>
      </c>
    </row>
    <row r="15" spans="1:11" ht="16.5" thickBot="1" x14ac:dyDescent="0.3">
      <c r="A15" s="94">
        <v>3173</v>
      </c>
      <c r="B15" s="94" t="s">
        <v>119</v>
      </c>
      <c r="C15" s="94" t="s">
        <v>98</v>
      </c>
      <c r="D15" s="94">
        <v>114</v>
      </c>
      <c r="E15" s="94">
        <v>311</v>
      </c>
      <c r="F15" s="94" t="s">
        <v>104</v>
      </c>
      <c r="G15" s="94" t="s">
        <v>109</v>
      </c>
      <c r="H15" s="94"/>
      <c r="I15" s="95">
        <v>46204</v>
      </c>
      <c r="J15" s="94"/>
      <c r="K15" s="96">
        <v>0</v>
      </c>
    </row>
    <row r="16" spans="1:11" ht="16.5" thickBot="1" x14ac:dyDescent="0.3">
      <c r="A16" s="94">
        <v>3207</v>
      </c>
      <c r="B16" s="94" t="s">
        <v>120</v>
      </c>
      <c r="C16" s="94" t="s">
        <v>98</v>
      </c>
      <c r="D16" s="94">
        <v>114</v>
      </c>
      <c r="E16" s="94">
        <v>311</v>
      </c>
      <c r="F16" s="94" t="s">
        <v>104</v>
      </c>
      <c r="G16" s="94" t="s">
        <v>109</v>
      </c>
      <c r="H16" s="94"/>
      <c r="I16" s="95">
        <v>46204</v>
      </c>
      <c r="J16" s="94"/>
      <c r="K16" s="96">
        <v>0</v>
      </c>
    </row>
    <row r="17" spans="1:11" ht="16.5" thickBot="1" x14ac:dyDescent="0.3">
      <c r="A17" s="94">
        <v>3650</v>
      </c>
      <c r="B17" s="94" t="s">
        <v>121</v>
      </c>
      <c r="C17" s="94" t="s">
        <v>98</v>
      </c>
      <c r="D17" s="94">
        <v>114</v>
      </c>
      <c r="E17" s="94">
        <v>311</v>
      </c>
      <c r="F17" s="94" t="s">
        <v>104</v>
      </c>
      <c r="G17" s="94" t="s">
        <v>109</v>
      </c>
      <c r="H17" s="94"/>
      <c r="I17" s="95">
        <v>46204</v>
      </c>
      <c r="J17" s="94"/>
      <c r="K17" s="96">
        <v>0</v>
      </c>
    </row>
    <row r="18" spans="1:11" ht="16.5" thickBot="1" x14ac:dyDescent="0.3">
      <c r="A18" s="94">
        <v>3662</v>
      </c>
      <c r="B18" s="94" t="s">
        <v>122</v>
      </c>
      <c r="C18" s="94" t="s">
        <v>98</v>
      </c>
      <c r="D18" s="94">
        <v>114</v>
      </c>
      <c r="E18" s="94">
        <v>311</v>
      </c>
      <c r="F18" s="94" t="s">
        <v>104</v>
      </c>
      <c r="G18" s="94" t="s">
        <v>109</v>
      </c>
      <c r="H18" s="94"/>
      <c r="I18" s="95">
        <v>46204</v>
      </c>
      <c r="J18" s="94"/>
      <c r="K18" s="96">
        <v>0</v>
      </c>
    </row>
    <row r="19" spans="1:11" ht="16.5" thickBot="1" x14ac:dyDescent="0.3">
      <c r="A19" s="94">
        <v>3788</v>
      </c>
      <c r="B19" s="94" t="s">
        <v>123</v>
      </c>
      <c r="C19" s="94" t="s">
        <v>98</v>
      </c>
      <c r="D19" s="94">
        <v>114</v>
      </c>
      <c r="E19" s="94">
        <v>311</v>
      </c>
      <c r="F19" s="94" t="s">
        <v>104</v>
      </c>
      <c r="G19" s="94" t="s">
        <v>105</v>
      </c>
      <c r="H19" s="94"/>
      <c r="I19" s="95">
        <v>46204</v>
      </c>
      <c r="J19" s="94"/>
      <c r="K19" s="96">
        <v>0</v>
      </c>
    </row>
    <row r="20" spans="1:11" ht="16.5" thickBot="1" x14ac:dyDescent="0.3">
      <c r="A20" s="94">
        <v>3887</v>
      </c>
      <c r="B20" s="94" t="s">
        <v>124</v>
      </c>
      <c r="C20" s="94" t="s">
        <v>98</v>
      </c>
      <c r="D20" s="94">
        <v>114</v>
      </c>
      <c r="E20" s="94">
        <v>311</v>
      </c>
      <c r="F20" s="94" t="s">
        <v>104</v>
      </c>
      <c r="G20" s="94" t="s">
        <v>109</v>
      </c>
      <c r="H20" s="94"/>
      <c r="I20" s="95">
        <v>46204</v>
      </c>
      <c r="J20" s="94"/>
      <c r="K20" s="96">
        <v>0</v>
      </c>
    </row>
    <row r="21" spans="1:11" ht="16.5" thickBot="1" x14ac:dyDescent="0.3">
      <c r="A21" s="94">
        <v>4164</v>
      </c>
      <c r="B21" s="94" t="s">
        <v>125</v>
      </c>
      <c r="C21" s="94" t="s">
        <v>98</v>
      </c>
      <c r="D21" s="94">
        <v>114</v>
      </c>
      <c r="E21" s="94">
        <v>311</v>
      </c>
      <c r="F21" s="94" t="s">
        <v>104</v>
      </c>
      <c r="G21" s="94" t="s">
        <v>126</v>
      </c>
      <c r="H21" s="94"/>
      <c r="I21" s="95">
        <v>46204</v>
      </c>
      <c r="J21" s="94"/>
      <c r="K21" s="96">
        <v>0</v>
      </c>
    </row>
    <row r="22" spans="1:11" ht="16.5" thickBot="1" x14ac:dyDescent="0.3">
      <c r="A22" s="94">
        <v>4269</v>
      </c>
      <c r="B22" s="94" t="s">
        <v>127</v>
      </c>
      <c r="C22" s="94" t="s">
        <v>98</v>
      </c>
      <c r="D22" s="94">
        <v>114</v>
      </c>
      <c r="E22" s="94">
        <v>311</v>
      </c>
      <c r="F22" s="94" t="s">
        <v>104</v>
      </c>
      <c r="G22" s="94" t="s">
        <v>107</v>
      </c>
      <c r="H22" s="94"/>
      <c r="I22" s="95">
        <v>46204</v>
      </c>
      <c r="J22" s="94"/>
      <c r="K22" s="96">
        <v>0</v>
      </c>
    </row>
    <row r="23" spans="1:11" ht="16.5" thickBot="1" x14ac:dyDescent="0.3">
      <c r="A23" s="94">
        <v>4279</v>
      </c>
      <c r="B23" s="94" t="s">
        <v>128</v>
      </c>
      <c r="C23" s="94" t="s">
        <v>98</v>
      </c>
      <c r="D23" s="94">
        <v>114</v>
      </c>
      <c r="E23" s="94">
        <v>311</v>
      </c>
      <c r="F23" s="94" t="s">
        <v>104</v>
      </c>
      <c r="G23" s="94" t="s">
        <v>109</v>
      </c>
      <c r="H23" s="94"/>
      <c r="I23" s="95">
        <v>46204</v>
      </c>
      <c r="J23" s="94"/>
      <c r="K23" s="96">
        <v>0</v>
      </c>
    </row>
    <row r="24" spans="1:11" ht="16.5" thickBot="1" x14ac:dyDescent="0.3">
      <c r="A24" s="94">
        <v>4291</v>
      </c>
      <c r="B24" s="94" t="s">
        <v>129</v>
      </c>
      <c r="C24" s="94" t="s">
        <v>98</v>
      </c>
      <c r="D24" s="94">
        <v>114</v>
      </c>
      <c r="E24" s="94">
        <v>311</v>
      </c>
      <c r="F24" s="94" t="s">
        <v>99</v>
      </c>
      <c r="G24" s="94" t="s">
        <v>102</v>
      </c>
      <c r="H24" s="94"/>
      <c r="I24" s="95">
        <v>46204</v>
      </c>
      <c r="J24" s="94"/>
      <c r="K24" s="96">
        <v>0</v>
      </c>
    </row>
    <row r="25" spans="1:11" ht="16.5" thickBot="1" x14ac:dyDescent="0.3">
      <c r="A25" s="94">
        <v>4351</v>
      </c>
      <c r="B25" s="94" t="s">
        <v>130</v>
      </c>
      <c r="C25" s="94" t="s">
        <v>98</v>
      </c>
      <c r="D25" s="94">
        <v>114</v>
      </c>
      <c r="E25" s="94">
        <v>311</v>
      </c>
      <c r="F25" s="94" t="s">
        <v>104</v>
      </c>
      <c r="G25" s="94" t="s">
        <v>109</v>
      </c>
      <c r="H25" s="94"/>
      <c r="I25" s="95">
        <v>46204</v>
      </c>
      <c r="J25" s="94"/>
      <c r="K25" s="96">
        <v>0</v>
      </c>
    </row>
    <row r="26" spans="1:11" ht="16.5" thickBot="1" x14ac:dyDescent="0.3">
      <c r="A26" s="94">
        <v>4419</v>
      </c>
      <c r="B26" s="94" t="s">
        <v>131</v>
      </c>
      <c r="C26" s="94" t="s">
        <v>98</v>
      </c>
      <c r="D26" s="94">
        <v>114</v>
      </c>
      <c r="E26" s="94">
        <v>311</v>
      </c>
      <c r="F26" s="94" t="s">
        <v>104</v>
      </c>
      <c r="G26" s="94" t="s">
        <v>109</v>
      </c>
      <c r="H26" s="94"/>
      <c r="I26" s="95">
        <v>46204</v>
      </c>
      <c r="J26" s="94"/>
      <c r="K26" s="96">
        <v>0</v>
      </c>
    </row>
    <row r="27" spans="1:11" ht="16.5" thickBot="1" x14ac:dyDescent="0.3">
      <c r="A27" s="94">
        <v>4475</v>
      </c>
      <c r="B27" s="94" t="s">
        <v>132</v>
      </c>
      <c r="C27" s="94" t="s">
        <v>98</v>
      </c>
      <c r="D27" s="94">
        <v>114</v>
      </c>
      <c r="E27" s="94">
        <v>311</v>
      </c>
      <c r="F27" s="94" t="s">
        <v>104</v>
      </c>
      <c r="G27" s="94" t="s">
        <v>109</v>
      </c>
      <c r="H27" s="94"/>
      <c r="I27" s="95">
        <v>46204</v>
      </c>
      <c r="J27" s="94"/>
      <c r="K27" s="96">
        <v>0</v>
      </c>
    </row>
    <row r="28" spans="1:11" ht="16.5" thickBot="1" x14ac:dyDescent="0.3">
      <c r="A28" s="94">
        <v>4513</v>
      </c>
      <c r="B28" s="94" t="s">
        <v>133</v>
      </c>
      <c r="C28" s="94" t="s">
        <v>98</v>
      </c>
      <c r="D28" s="94">
        <v>114</v>
      </c>
      <c r="E28" s="94">
        <v>311</v>
      </c>
      <c r="F28" s="94" t="s">
        <v>104</v>
      </c>
      <c r="G28" s="94" t="s">
        <v>126</v>
      </c>
      <c r="H28" s="94"/>
      <c r="I28" s="95">
        <v>46204</v>
      </c>
      <c r="J28" s="94"/>
      <c r="K28" s="96">
        <v>0</v>
      </c>
    </row>
    <row r="29" spans="1:11" ht="16.5" thickBot="1" x14ac:dyDescent="0.3">
      <c r="A29" s="94">
        <v>4700</v>
      </c>
      <c r="B29" s="94" t="s">
        <v>134</v>
      </c>
      <c r="C29" s="94" t="s">
        <v>98</v>
      </c>
      <c r="D29" s="94">
        <v>114</v>
      </c>
      <c r="E29" s="94">
        <v>311</v>
      </c>
      <c r="F29" s="94" t="s">
        <v>104</v>
      </c>
      <c r="G29" s="94" t="s">
        <v>109</v>
      </c>
      <c r="H29" s="94"/>
      <c r="I29" s="95">
        <v>46204</v>
      </c>
      <c r="J29" s="94"/>
      <c r="K29" s="96">
        <v>0</v>
      </c>
    </row>
    <row r="30" spans="1:11" ht="16.5" thickBot="1" x14ac:dyDescent="0.3">
      <c r="A30" s="94">
        <v>4716</v>
      </c>
      <c r="B30" s="94" t="s">
        <v>135</v>
      </c>
      <c r="C30" s="94" t="s">
        <v>98</v>
      </c>
      <c r="D30" s="94">
        <v>114</v>
      </c>
      <c r="E30" s="94">
        <v>311</v>
      </c>
      <c r="F30" s="94" t="s">
        <v>104</v>
      </c>
      <c r="G30" s="94" t="s">
        <v>109</v>
      </c>
      <c r="H30" s="94"/>
      <c r="I30" s="95">
        <v>46204</v>
      </c>
      <c r="J30" s="94"/>
      <c r="K30" s="96">
        <v>0</v>
      </c>
    </row>
    <row r="31" spans="1:11" ht="15.75" x14ac:dyDescent="0.25">
      <c r="A31" s="94">
        <v>4848</v>
      </c>
      <c r="B31" s="94" t="s">
        <v>136</v>
      </c>
      <c r="C31" s="94" t="s">
        <v>98</v>
      </c>
      <c r="D31" s="94">
        <v>114</v>
      </c>
      <c r="E31" s="94">
        <v>311</v>
      </c>
      <c r="F31" s="94" t="s">
        <v>104</v>
      </c>
      <c r="G31" s="94" t="s">
        <v>109</v>
      </c>
      <c r="H31" s="94"/>
      <c r="I31" s="95">
        <v>46204</v>
      </c>
      <c r="J31" s="94"/>
      <c r="K31" s="96">
        <v>0</v>
      </c>
    </row>
    <row r="32" spans="1:11" x14ac:dyDescent="0.25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608C-F5A7-4E3E-8564-CC4878B1D4FC}">
  <dimension ref="A1:M22"/>
  <sheetViews>
    <sheetView workbookViewId="0">
      <selection activeCell="I1" sqref="I1"/>
    </sheetView>
  </sheetViews>
  <sheetFormatPr baseColWidth="10" defaultRowHeight="15" x14ac:dyDescent="0.25"/>
  <cols>
    <col min="1" max="1" width="13.42578125" bestFit="1" customWidth="1"/>
    <col min="2" max="2" width="13.85546875" bestFit="1" customWidth="1"/>
    <col min="3" max="3" width="37.7109375" bestFit="1" customWidth="1"/>
    <col min="4" max="4" width="23.42578125" bestFit="1" customWidth="1"/>
    <col min="5" max="5" width="8.85546875" bestFit="1" customWidth="1"/>
    <col min="6" max="6" width="7.28515625" bestFit="1" customWidth="1"/>
    <col min="7" max="7" width="12" bestFit="1" customWidth="1"/>
    <col min="8" max="10" width="10.85546875" bestFit="1" customWidth="1"/>
    <col min="11" max="11" width="17.5703125" bestFit="1" customWidth="1"/>
    <col min="12" max="12" width="119.28515625" bestFit="1" customWidth="1"/>
    <col min="13" max="13" width="61.7109375" bestFit="1" customWidth="1"/>
  </cols>
  <sheetData>
    <row r="1" spans="1:13" x14ac:dyDescent="0.2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255</v>
      </c>
      <c r="J1" t="s">
        <v>254</v>
      </c>
      <c r="K1" t="s">
        <v>152</v>
      </c>
      <c r="L1" t="s">
        <v>153</v>
      </c>
      <c r="M1" t="s">
        <v>154</v>
      </c>
    </row>
    <row r="2" spans="1:13" x14ac:dyDescent="0.25">
      <c r="A2">
        <v>15</v>
      </c>
      <c r="B2">
        <v>1013</v>
      </c>
      <c r="C2" t="s">
        <v>155</v>
      </c>
      <c r="D2" t="s">
        <v>156</v>
      </c>
      <c r="E2">
        <v>9</v>
      </c>
      <c r="F2" t="s">
        <v>157</v>
      </c>
      <c r="G2">
        <v>0</v>
      </c>
      <c r="H2" s="101">
        <v>85617</v>
      </c>
      <c r="I2" s="101">
        <f>+Hoja4!C2</f>
        <v>85618.08</v>
      </c>
      <c r="J2" s="101">
        <f>+H2-I2</f>
        <v>-1.0800000000017462</v>
      </c>
      <c r="K2" s="102">
        <v>44938</v>
      </c>
      <c r="L2" t="s">
        <v>158</v>
      </c>
      <c r="M2" t="s">
        <v>159</v>
      </c>
    </row>
    <row r="3" spans="1:13" x14ac:dyDescent="0.25">
      <c r="A3">
        <v>50</v>
      </c>
      <c r="B3">
        <v>1053</v>
      </c>
      <c r="C3" t="s">
        <v>160</v>
      </c>
      <c r="D3" t="s">
        <v>156</v>
      </c>
      <c r="E3">
        <v>0</v>
      </c>
      <c r="G3">
        <v>0</v>
      </c>
      <c r="H3" s="101">
        <v>26160.75</v>
      </c>
      <c r="I3" s="101">
        <f>+Hoja4!C8</f>
        <v>26161.08</v>
      </c>
      <c r="J3" s="101">
        <f t="shared" ref="J3:J22" si="0">+H3-I3</f>
        <v>-0.33000000000174623</v>
      </c>
      <c r="K3" s="102">
        <v>44938</v>
      </c>
      <c r="L3" t="s">
        <v>161</v>
      </c>
      <c r="M3" t="s">
        <v>162</v>
      </c>
    </row>
    <row r="4" spans="1:13" x14ac:dyDescent="0.25">
      <c r="A4">
        <v>80</v>
      </c>
      <c r="B4">
        <v>1083</v>
      </c>
      <c r="C4" t="s">
        <v>163</v>
      </c>
      <c r="D4" t="s">
        <v>156</v>
      </c>
      <c r="E4">
        <v>2</v>
      </c>
      <c r="F4" t="s">
        <v>157</v>
      </c>
      <c r="G4">
        <v>0</v>
      </c>
      <c r="H4" s="101">
        <v>55016.4</v>
      </c>
      <c r="I4" s="101">
        <f>+Hoja4!C3</f>
        <v>55016.24</v>
      </c>
      <c r="J4" s="101">
        <f t="shared" si="0"/>
        <v>0.16000000000349246</v>
      </c>
      <c r="K4" s="102">
        <v>44938</v>
      </c>
      <c r="L4" t="s">
        <v>164</v>
      </c>
      <c r="M4" t="s">
        <v>165</v>
      </c>
    </row>
    <row r="5" spans="1:13" x14ac:dyDescent="0.25">
      <c r="A5">
        <v>141</v>
      </c>
      <c r="B5">
        <v>2403</v>
      </c>
      <c r="C5" t="s">
        <v>166</v>
      </c>
      <c r="D5" t="s">
        <v>156</v>
      </c>
      <c r="E5" s="103">
        <v>35676</v>
      </c>
      <c r="F5" t="s">
        <v>167</v>
      </c>
      <c r="G5">
        <v>0</v>
      </c>
      <c r="H5" s="101">
        <v>668859.06999999995</v>
      </c>
      <c r="I5" s="101">
        <f>+Hoja4!C11</f>
        <v>668858.85</v>
      </c>
      <c r="J5" s="101">
        <f t="shared" si="0"/>
        <v>0.21999999997206032</v>
      </c>
      <c r="K5" s="102">
        <v>44938</v>
      </c>
      <c r="L5" t="s">
        <v>168</v>
      </c>
      <c r="M5" t="s">
        <v>169</v>
      </c>
    </row>
    <row r="6" spans="1:13" x14ac:dyDescent="0.25">
      <c r="A6">
        <v>142</v>
      </c>
      <c r="B6">
        <v>2413</v>
      </c>
      <c r="C6" t="s">
        <v>170</v>
      </c>
      <c r="D6" t="s">
        <v>156</v>
      </c>
      <c r="E6" s="103">
        <v>34392</v>
      </c>
      <c r="F6" t="s">
        <v>167</v>
      </c>
      <c r="G6">
        <v>0</v>
      </c>
      <c r="H6" s="101">
        <v>611435.42000000004</v>
      </c>
      <c r="I6" s="101">
        <f>+Hoja4!C12</f>
        <v>611435.74</v>
      </c>
      <c r="J6" s="101">
        <f t="shared" si="0"/>
        <v>-0.31999999994877726</v>
      </c>
      <c r="K6" s="102">
        <v>44938</v>
      </c>
      <c r="L6" t="s">
        <v>171</v>
      </c>
      <c r="M6" t="s">
        <v>172</v>
      </c>
    </row>
    <row r="7" spans="1:13" x14ac:dyDescent="0.25">
      <c r="A7">
        <v>147</v>
      </c>
      <c r="B7">
        <v>2463</v>
      </c>
      <c r="C7" t="s">
        <v>173</v>
      </c>
      <c r="D7" t="s">
        <v>156</v>
      </c>
      <c r="E7" s="103">
        <v>21996</v>
      </c>
      <c r="F7" t="s">
        <v>167</v>
      </c>
      <c r="G7">
        <v>0</v>
      </c>
      <c r="H7" s="101">
        <v>319953.38</v>
      </c>
      <c r="I7" s="101">
        <f>+Hoja4!C13</f>
        <v>319952.43</v>
      </c>
      <c r="J7" s="101">
        <f t="shared" si="0"/>
        <v>0.95000000001164153</v>
      </c>
      <c r="K7" s="102">
        <v>44938</v>
      </c>
      <c r="L7" t="s">
        <v>174</v>
      </c>
      <c r="M7" t="s">
        <v>175</v>
      </c>
    </row>
    <row r="8" spans="1:13" x14ac:dyDescent="0.25">
      <c r="A8">
        <v>151</v>
      </c>
      <c r="B8">
        <v>1093</v>
      </c>
      <c r="C8" t="s">
        <v>176</v>
      </c>
      <c r="D8" t="s">
        <v>156</v>
      </c>
      <c r="E8">
        <v>0</v>
      </c>
      <c r="G8">
        <v>0</v>
      </c>
      <c r="H8" s="101">
        <v>92430.98</v>
      </c>
      <c r="I8" s="101">
        <f>+Hoja4!C16</f>
        <v>92431.78</v>
      </c>
      <c r="J8" s="101">
        <f t="shared" si="0"/>
        <v>-0.80000000000291038</v>
      </c>
      <c r="K8" s="102">
        <v>44938</v>
      </c>
      <c r="L8" t="s">
        <v>177</v>
      </c>
      <c r="M8" t="s">
        <v>178</v>
      </c>
    </row>
    <row r="9" spans="1:13" x14ac:dyDescent="0.25">
      <c r="A9">
        <v>155</v>
      </c>
      <c r="B9">
        <v>1543</v>
      </c>
      <c r="C9" t="s">
        <v>179</v>
      </c>
      <c r="D9" t="s">
        <v>156</v>
      </c>
      <c r="E9">
        <v>0</v>
      </c>
      <c r="G9">
        <v>0</v>
      </c>
      <c r="H9" s="101">
        <v>51370.2</v>
      </c>
      <c r="I9" s="101">
        <f>+Hoja4!C4</f>
        <v>51370.85</v>
      </c>
      <c r="J9" s="101">
        <f t="shared" si="0"/>
        <v>-0.65000000000145519</v>
      </c>
      <c r="K9" s="102">
        <v>44938</v>
      </c>
      <c r="L9" t="s">
        <v>180</v>
      </c>
      <c r="M9" t="s">
        <v>181</v>
      </c>
    </row>
    <row r="10" spans="1:13" x14ac:dyDescent="0.25">
      <c r="A10">
        <v>160</v>
      </c>
      <c r="B10">
        <v>1547</v>
      </c>
      <c r="C10" t="s">
        <v>182</v>
      </c>
      <c r="D10" t="s">
        <v>156</v>
      </c>
      <c r="E10">
        <v>0</v>
      </c>
      <c r="G10">
        <v>0</v>
      </c>
      <c r="H10" s="101">
        <v>163.93</v>
      </c>
      <c r="I10" s="101">
        <f>+Hoja4!C10</f>
        <v>163.93</v>
      </c>
      <c r="J10" s="101">
        <f t="shared" si="0"/>
        <v>0</v>
      </c>
      <c r="K10" s="102">
        <v>44938</v>
      </c>
      <c r="L10" t="s">
        <v>256</v>
      </c>
      <c r="M10" t="s">
        <v>257</v>
      </c>
    </row>
    <row r="11" spans="1:13" x14ac:dyDescent="0.25">
      <c r="A11">
        <v>205</v>
      </c>
      <c r="B11">
        <v>1174</v>
      </c>
      <c r="C11" t="s">
        <v>183</v>
      </c>
      <c r="D11" t="s">
        <v>156</v>
      </c>
      <c r="E11">
        <v>0</v>
      </c>
      <c r="G11">
        <v>0</v>
      </c>
      <c r="H11" s="101">
        <v>53249.82</v>
      </c>
      <c r="I11" s="101">
        <f>+Hoja4!C9</f>
        <v>53247.5</v>
      </c>
      <c r="J11" s="101">
        <f t="shared" si="0"/>
        <v>2.319999999999709</v>
      </c>
      <c r="K11" s="102">
        <v>44938</v>
      </c>
      <c r="L11" t="s">
        <v>184</v>
      </c>
      <c r="M11" t="s">
        <v>185</v>
      </c>
    </row>
    <row r="12" spans="1:13" x14ac:dyDescent="0.25">
      <c r="A12">
        <v>400</v>
      </c>
      <c r="B12">
        <v>4415</v>
      </c>
      <c r="C12" t="s">
        <v>186</v>
      </c>
      <c r="D12" t="s">
        <v>187</v>
      </c>
      <c r="E12">
        <v>0</v>
      </c>
      <c r="G12">
        <v>0</v>
      </c>
      <c r="H12" s="101">
        <v>-138866.82</v>
      </c>
      <c r="I12" s="101">
        <f>+Hoja4!C14</f>
        <v>-138865.57999999999</v>
      </c>
      <c r="J12" s="101">
        <f t="shared" si="0"/>
        <v>-1.2400000000197906</v>
      </c>
      <c r="K12" s="102">
        <v>44938</v>
      </c>
      <c r="L12" t="s">
        <v>188</v>
      </c>
      <c r="M12" t="s">
        <v>189</v>
      </c>
    </row>
    <row r="13" spans="1:13" x14ac:dyDescent="0.25">
      <c r="A13">
        <v>700</v>
      </c>
      <c r="B13">
        <v>8522</v>
      </c>
      <c r="C13" t="s">
        <v>190</v>
      </c>
      <c r="D13" t="s">
        <v>191</v>
      </c>
      <c r="E13">
        <v>0</v>
      </c>
      <c r="G13">
        <v>0</v>
      </c>
      <c r="H13" s="101">
        <v>85721.24</v>
      </c>
      <c r="I13" s="101"/>
      <c r="J13" s="101">
        <f t="shared" si="0"/>
        <v>85721.24</v>
      </c>
      <c r="K13" s="102">
        <v>44938</v>
      </c>
      <c r="L13" t="s">
        <v>192</v>
      </c>
      <c r="M13" t="s">
        <v>193</v>
      </c>
    </row>
    <row r="14" spans="1:13" x14ac:dyDescent="0.25">
      <c r="A14">
        <v>900</v>
      </c>
      <c r="B14">
        <v>6000</v>
      </c>
      <c r="C14" t="s">
        <v>194</v>
      </c>
      <c r="D14" t="s">
        <v>195</v>
      </c>
      <c r="E14">
        <v>0</v>
      </c>
      <c r="G14">
        <v>0</v>
      </c>
      <c r="H14" s="101">
        <v>235733.42</v>
      </c>
      <c r="I14" s="101">
        <f>+Hoja4!D19</f>
        <v>380308.34</v>
      </c>
      <c r="J14" s="101">
        <f t="shared" si="0"/>
        <v>-144574.92000000001</v>
      </c>
      <c r="K14" s="102">
        <v>44938</v>
      </c>
      <c r="L14" t="s">
        <v>196</v>
      </c>
      <c r="M14" t="s">
        <v>197</v>
      </c>
    </row>
    <row r="15" spans="1:13" x14ac:dyDescent="0.25">
      <c r="A15">
        <v>906</v>
      </c>
      <c r="B15">
        <v>6010</v>
      </c>
      <c r="C15" t="s">
        <v>198</v>
      </c>
      <c r="D15" t="s">
        <v>195</v>
      </c>
      <c r="E15">
        <v>0</v>
      </c>
      <c r="G15">
        <v>0</v>
      </c>
      <c r="H15" s="101">
        <v>64290.93</v>
      </c>
      <c r="I15" s="101"/>
      <c r="J15" s="101">
        <f t="shared" si="0"/>
        <v>64290.93</v>
      </c>
      <c r="K15" s="102">
        <v>44938</v>
      </c>
      <c r="L15" t="s">
        <v>199</v>
      </c>
      <c r="M15" t="s">
        <v>200</v>
      </c>
    </row>
    <row r="16" spans="1:13" x14ac:dyDescent="0.25">
      <c r="A16">
        <v>912</v>
      </c>
      <c r="B16">
        <v>6030</v>
      </c>
      <c r="C16" t="s">
        <v>201</v>
      </c>
      <c r="D16" t="s">
        <v>195</v>
      </c>
      <c r="E16">
        <v>0</v>
      </c>
      <c r="G16">
        <v>0</v>
      </c>
      <c r="H16" s="101">
        <v>64290.93</v>
      </c>
      <c r="I16" s="101"/>
      <c r="J16" s="101">
        <f t="shared" si="0"/>
        <v>64290.93</v>
      </c>
      <c r="K16" s="102">
        <v>44938</v>
      </c>
      <c r="L16" t="s">
        <v>202</v>
      </c>
      <c r="M16" t="s">
        <v>200</v>
      </c>
    </row>
    <row r="17" spans="1:13" x14ac:dyDescent="0.25">
      <c r="A17">
        <v>930</v>
      </c>
      <c r="B17">
        <v>7000</v>
      </c>
      <c r="C17" t="s">
        <v>203</v>
      </c>
      <c r="D17" t="s">
        <v>204</v>
      </c>
      <c r="E17">
        <v>0</v>
      </c>
      <c r="G17">
        <v>0</v>
      </c>
      <c r="H17" s="101">
        <v>230050.15</v>
      </c>
      <c r="I17" s="101"/>
      <c r="J17" s="101">
        <f t="shared" si="0"/>
        <v>230050.15</v>
      </c>
      <c r="K17" s="102">
        <v>44938</v>
      </c>
      <c r="L17" t="s">
        <v>205</v>
      </c>
      <c r="M17" t="s">
        <v>206</v>
      </c>
    </row>
    <row r="18" spans="1:13" x14ac:dyDescent="0.25">
      <c r="A18">
        <v>934</v>
      </c>
      <c r="B18">
        <v>7010</v>
      </c>
      <c r="C18" t="s">
        <v>207</v>
      </c>
      <c r="D18" t="s">
        <v>204</v>
      </c>
      <c r="E18">
        <v>0</v>
      </c>
      <c r="G18">
        <v>0</v>
      </c>
      <c r="H18" s="101">
        <v>33962.839999999997</v>
      </c>
      <c r="I18" s="101"/>
      <c r="J18" s="101">
        <f t="shared" si="0"/>
        <v>33962.839999999997</v>
      </c>
      <c r="K18" s="102">
        <v>44938</v>
      </c>
      <c r="L18" t="s">
        <v>208</v>
      </c>
      <c r="M18" t="s">
        <v>209</v>
      </c>
    </row>
    <row r="19" spans="1:13" x14ac:dyDescent="0.25">
      <c r="A19">
        <v>936</v>
      </c>
      <c r="B19">
        <v>7030</v>
      </c>
      <c r="C19" t="s">
        <v>210</v>
      </c>
      <c r="D19" t="s">
        <v>204</v>
      </c>
      <c r="E19">
        <v>0</v>
      </c>
      <c r="G19">
        <v>0</v>
      </c>
      <c r="H19" s="101">
        <v>128581.86</v>
      </c>
      <c r="I19" s="101"/>
      <c r="J19" s="101">
        <f t="shared" si="0"/>
        <v>128581.86</v>
      </c>
      <c r="K19" s="102">
        <v>44938</v>
      </c>
      <c r="L19" t="s">
        <v>211</v>
      </c>
      <c r="M19" t="s">
        <v>212</v>
      </c>
    </row>
    <row r="20" spans="1:13" x14ac:dyDescent="0.25">
      <c r="A20">
        <v>938</v>
      </c>
      <c r="B20">
        <v>7050</v>
      </c>
      <c r="C20" t="s">
        <v>20</v>
      </c>
      <c r="D20" t="s">
        <v>204</v>
      </c>
      <c r="E20">
        <v>0</v>
      </c>
      <c r="G20">
        <v>0</v>
      </c>
      <c r="H20" s="101">
        <v>160186.29999999999</v>
      </c>
      <c r="I20" s="101"/>
      <c r="J20" s="101">
        <f t="shared" si="0"/>
        <v>160186.29999999999</v>
      </c>
      <c r="K20" s="102">
        <v>44938</v>
      </c>
      <c r="L20" t="s">
        <v>213</v>
      </c>
      <c r="M20" t="s">
        <v>214</v>
      </c>
    </row>
    <row r="21" spans="1:13" x14ac:dyDescent="0.25">
      <c r="A21">
        <v>939</v>
      </c>
      <c r="B21">
        <v>7060</v>
      </c>
      <c r="C21" t="s">
        <v>215</v>
      </c>
      <c r="D21" t="s">
        <v>204</v>
      </c>
      <c r="E21">
        <v>0</v>
      </c>
      <c r="G21">
        <v>0</v>
      </c>
      <c r="H21" s="101">
        <v>100393.29</v>
      </c>
      <c r="I21" s="101"/>
      <c r="J21" s="101">
        <f t="shared" si="0"/>
        <v>100393.29</v>
      </c>
      <c r="K21" s="102">
        <v>46023</v>
      </c>
      <c r="L21" t="s">
        <v>216</v>
      </c>
      <c r="M21" t="s">
        <v>217</v>
      </c>
    </row>
    <row r="22" spans="1:13" x14ac:dyDescent="0.25">
      <c r="A22">
        <v>940</v>
      </c>
      <c r="B22">
        <v>7070</v>
      </c>
      <c r="C22" t="s">
        <v>218</v>
      </c>
      <c r="D22" t="s">
        <v>204</v>
      </c>
      <c r="E22">
        <v>0</v>
      </c>
      <c r="G22">
        <v>0</v>
      </c>
      <c r="H22" s="101">
        <v>20078.66</v>
      </c>
      <c r="I22" s="101"/>
      <c r="J22" s="101">
        <f t="shared" si="0"/>
        <v>20078.66</v>
      </c>
      <c r="K22" s="102">
        <v>46023</v>
      </c>
      <c r="L22" t="s">
        <v>219</v>
      </c>
      <c r="M22" t="s">
        <v>220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6BD5-49F7-469A-A6B2-86A3F895F16E}">
  <dimension ref="A1:E27"/>
  <sheetViews>
    <sheetView workbookViewId="0">
      <selection activeCell="D19" sqref="D19"/>
    </sheetView>
  </sheetViews>
  <sheetFormatPr baseColWidth="10" defaultRowHeight="15" x14ac:dyDescent="0.25"/>
  <cols>
    <col min="1" max="1" width="31.5703125" bestFit="1" customWidth="1"/>
    <col min="3" max="3" width="11.7109375" bestFit="1" customWidth="1"/>
    <col min="5" max="5" width="11.7109375" bestFit="1" customWidth="1"/>
  </cols>
  <sheetData>
    <row r="1" spans="1:5" x14ac:dyDescent="0.25">
      <c r="A1" t="s">
        <v>221</v>
      </c>
      <c r="B1" t="s">
        <v>222</v>
      </c>
      <c r="C1" t="s">
        <v>223</v>
      </c>
      <c r="D1" t="s">
        <v>224</v>
      </c>
      <c r="E1" t="s">
        <v>225</v>
      </c>
    </row>
    <row r="2" spans="1:5" x14ac:dyDescent="0.25">
      <c r="A2" t="s">
        <v>54</v>
      </c>
      <c r="B2" t="s">
        <v>226</v>
      </c>
      <c r="C2" s="101">
        <v>85618.08</v>
      </c>
    </row>
    <row r="3" spans="1:5" x14ac:dyDescent="0.25">
      <c r="A3" t="s">
        <v>55</v>
      </c>
      <c r="B3" t="s">
        <v>227</v>
      </c>
      <c r="C3" s="101">
        <v>55016.24</v>
      </c>
    </row>
    <row r="4" spans="1:5" x14ac:dyDescent="0.25">
      <c r="A4" t="s">
        <v>240</v>
      </c>
      <c r="B4">
        <v>33</v>
      </c>
      <c r="C4" s="101">
        <v>51370.85</v>
      </c>
    </row>
    <row r="5" spans="1:5" x14ac:dyDescent="0.25">
      <c r="A5" t="s">
        <v>242</v>
      </c>
      <c r="B5" t="s">
        <v>228</v>
      </c>
      <c r="C5" s="101">
        <v>19458.650000000001</v>
      </c>
    </row>
    <row r="6" spans="1:5" x14ac:dyDescent="0.25">
      <c r="A6" t="s">
        <v>243</v>
      </c>
      <c r="B6" t="s">
        <v>229</v>
      </c>
      <c r="C6" s="101">
        <v>9729.33</v>
      </c>
    </row>
    <row r="7" spans="1:5" x14ac:dyDescent="0.25">
      <c r="A7" t="s">
        <v>241</v>
      </c>
      <c r="C7" s="101">
        <v>-29187.98</v>
      </c>
    </row>
    <row r="8" spans="1:5" x14ac:dyDescent="0.25">
      <c r="A8" t="s">
        <v>160</v>
      </c>
      <c r="B8" t="s">
        <v>230</v>
      </c>
      <c r="C8" s="101">
        <v>26161.08</v>
      </c>
    </row>
    <row r="9" spans="1:5" x14ac:dyDescent="0.25">
      <c r="A9" t="s">
        <v>57</v>
      </c>
      <c r="C9" s="101">
        <v>53247.5</v>
      </c>
    </row>
    <row r="10" spans="1:5" x14ac:dyDescent="0.25">
      <c r="A10" t="s">
        <v>244</v>
      </c>
      <c r="B10" t="s">
        <v>226</v>
      </c>
      <c r="C10">
        <v>163.93</v>
      </c>
    </row>
    <row r="11" spans="1:5" x14ac:dyDescent="0.25">
      <c r="A11" t="s">
        <v>245</v>
      </c>
      <c r="B11" t="s">
        <v>231</v>
      </c>
      <c r="C11" s="101">
        <v>668858.85</v>
      </c>
    </row>
    <row r="12" spans="1:5" x14ac:dyDescent="0.25">
      <c r="A12" t="s">
        <v>246</v>
      </c>
      <c r="B12" t="s">
        <v>232</v>
      </c>
      <c r="C12" s="101">
        <v>611435.74</v>
      </c>
    </row>
    <row r="13" spans="1:5" x14ac:dyDescent="0.25">
      <c r="A13" t="s">
        <v>247</v>
      </c>
      <c r="B13" t="s">
        <v>233</v>
      </c>
      <c r="C13" s="101">
        <v>319952.43</v>
      </c>
    </row>
    <row r="14" spans="1:5" x14ac:dyDescent="0.25">
      <c r="A14" t="s">
        <v>248</v>
      </c>
      <c r="C14" s="101">
        <v>-138865.57999999999</v>
      </c>
    </row>
    <row r="15" spans="1:5" x14ac:dyDescent="0.25">
      <c r="A15" t="s">
        <v>249</v>
      </c>
      <c r="B15" t="s">
        <v>234</v>
      </c>
      <c r="C15" s="101">
        <v>157541.74</v>
      </c>
    </row>
    <row r="16" spans="1:5" x14ac:dyDescent="0.25">
      <c r="A16" t="s">
        <v>250</v>
      </c>
      <c r="C16" s="101">
        <v>92431.78</v>
      </c>
    </row>
    <row r="17" spans="1:5" x14ac:dyDescent="0.25">
      <c r="A17" t="s">
        <v>49</v>
      </c>
      <c r="C17" s="101">
        <v>1474415.9</v>
      </c>
    </row>
    <row r="18" spans="1:5" x14ac:dyDescent="0.25">
      <c r="A18" t="s">
        <v>51</v>
      </c>
      <c r="B18" t="s">
        <v>229</v>
      </c>
      <c r="D18" s="101">
        <v>103720.46</v>
      </c>
    </row>
    <row r="19" spans="1:5" x14ac:dyDescent="0.25">
      <c r="A19" t="s">
        <v>50</v>
      </c>
      <c r="B19" t="s">
        <v>235</v>
      </c>
      <c r="D19" s="101">
        <v>380308.34</v>
      </c>
    </row>
    <row r="20" spans="1:5" x14ac:dyDescent="0.25">
      <c r="A20" t="s">
        <v>236</v>
      </c>
      <c r="B20" t="s">
        <v>229</v>
      </c>
      <c r="D20" s="101">
        <v>135287.01999999999</v>
      </c>
    </row>
    <row r="21" spans="1:5" x14ac:dyDescent="0.25">
      <c r="A21" t="s">
        <v>1</v>
      </c>
      <c r="B21" t="s">
        <v>237</v>
      </c>
      <c r="D21" s="101">
        <v>460979.81</v>
      </c>
    </row>
    <row r="22" spans="1:5" x14ac:dyDescent="0.25">
      <c r="A22" t="s">
        <v>251</v>
      </c>
      <c r="D22" s="101">
        <v>250000</v>
      </c>
    </row>
    <row r="23" spans="1:5" x14ac:dyDescent="0.25">
      <c r="A23" t="s">
        <v>252</v>
      </c>
      <c r="D23" s="101">
        <v>2069759.35</v>
      </c>
    </row>
    <row r="24" spans="1:5" x14ac:dyDescent="0.25">
      <c r="A24" t="s">
        <v>253</v>
      </c>
      <c r="B24" t="s">
        <v>238</v>
      </c>
      <c r="E24" s="101">
        <v>8067146.5899999999</v>
      </c>
    </row>
    <row r="25" spans="1:5" x14ac:dyDescent="0.25">
      <c r="A25" t="s">
        <v>239</v>
      </c>
      <c r="E25">
        <v>0.85</v>
      </c>
    </row>
    <row r="26" spans="1:5" x14ac:dyDescent="0.25">
      <c r="C26" s="101">
        <f>SUM(C2:C24)</f>
        <v>3457348.54</v>
      </c>
      <c r="D26" s="101">
        <f>SUM(D2:D24)</f>
        <v>3400054.9800000004</v>
      </c>
      <c r="E26" s="101">
        <f>SUM(E24:E25)</f>
        <v>8067147.4399999995</v>
      </c>
    </row>
    <row r="27" spans="1:5" x14ac:dyDescent="0.25">
      <c r="E27" s="101">
        <f>+C26-D26+E26</f>
        <v>8124440.9999999991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Hoja5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Sienes</dc:creator>
  <cp:lastModifiedBy>Ulises Sasovsky</cp:lastModifiedBy>
  <cp:lastPrinted>2020-05-27T12:17:37Z</cp:lastPrinted>
  <dcterms:created xsi:type="dcterms:W3CDTF">2020-05-13T13:13:48Z</dcterms:created>
  <dcterms:modified xsi:type="dcterms:W3CDTF">2026-08-16T15:49:09Z</dcterms:modified>
</cp:coreProperties>
</file>