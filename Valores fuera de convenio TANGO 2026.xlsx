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b6926b2e2f81b4/Documentos/Proyectos/25.2/25.2 - Custom Extensiones/Payroll/"/>
    </mc:Choice>
  </mc:AlternateContent>
  <xr:revisionPtr revIDLastSave="10" documentId="8_{53B05E16-C9B2-4EB0-8650-C75D357DF1B4}" xr6:coauthVersionLast="47" xr6:coauthVersionMax="47" xr10:uidLastSave="{AD1EF288-85EA-4D2C-9D8C-3DC268CA00F4}"/>
  <bookViews>
    <workbookView xWindow="-120" yWindow="-120" windowWidth="29040" windowHeight="15720" tabRatio="683" activeTab="10" xr2:uid="{4A98CEF0-0D84-4502-8D94-A3DFED79C25F}"/>
  </bookViews>
  <sheets>
    <sheet name="RES" sheetId="5" r:id="rId1"/>
    <sheet name="Cap" sheetId="7" r:id="rId2"/>
    <sheet name="JM" sheetId="8" r:id="rId3"/>
    <sheet name="1°Of cb" sheetId="9" r:id="rId4"/>
    <sheet name="1°Of mq" sheetId="10" r:id="rId5"/>
    <sheet name="PP Arg" sheetId="11" r:id="rId6"/>
    <sheet name="PP Esp" sheetId="12" r:id="rId7"/>
    <sheet name="GM Arg" sheetId="13" r:id="rId8"/>
    <sheet name="GM Arg -15" sheetId="14" r:id="rId9"/>
    <sheet name="GM Esp" sheetId="15" r:id="rId10"/>
    <sheet name="Contr" sheetId="16" r:id="rId1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0" i="16" l="1"/>
  <c r="D28" i="16"/>
  <c r="D27" i="16"/>
  <c r="D26" i="16"/>
  <c r="D25" i="16"/>
</calcChain>
</file>

<file path=xl/sharedStrings.xml><?xml version="1.0" encoding="utf-8"?>
<sst xmlns="http://schemas.openxmlformats.org/spreadsheetml/2006/main" count="233" uniqueCount="51">
  <si>
    <t>CAPITAN</t>
  </si>
  <si>
    <t>CLASIFICACION</t>
  </si>
  <si>
    <t>LANGOSTINO ENTERO 1</t>
  </si>
  <si>
    <t>LANGOSTINO ENTERO 2</t>
  </si>
  <si>
    <t>LANGOSTINO ENTERO 3</t>
  </si>
  <si>
    <t>LANGOSTINO ENTERO 4</t>
  </si>
  <si>
    <t>LANGOSTINO COLAS 1</t>
  </si>
  <si>
    <t>LANGOSTINO COLAS 2</t>
  </si>
  <si>
    <t>GARANTIA DE MAQUINAS</t>
  </si>
  <si>
    <t>CONTRAMAESTRE</t>
  </si>
  <si>
    <t>1ER OF CBTA</t>
  </si>
  <si>
    <t>1ER OF MAQ</t>
  </si>
  <si>
    <t>JEFE MAQ</t>
  </si>
  <si>
    <t>PATRON DE PESCA</t>
  </si>
  <si>
    <t>ADICIONAL PRODUCCION</t>
  </si>
  <si>
    <t>ESPAÑOL</t>
  </si>
  <si>
    <t>ARGENTINO</t>
  </si>
  <si>
    <t>&lt; 6000</t>
  </si>
  <si>
    <t>Valores finales por tonelada</t>
  </si>
  <si>
    <t>PATRONES DE PESCA</t>
  </si>
  <si>
    <t>Jefe y primer oficial de máquinas: + 15% adicional tareas mecánicas.</t>
  </si>
  <si>
    <t>ARG menos 15%</t>
  </si>
  <si>
    <t>OFICIALES</t>
  </si>
  <si>
    <t>CAPITANES</t>
  </si>
  <si>
    <t>VII FLORES MAURICIO; VIII CEJAS SERGIO; A14 ROLDAN JOSE; A15 CABRERA JOSE; A16 ROMERO JAVIER; A17 PEROTTI PAULINO; A18 GOMEZ VICTORIO; A19 PICCIONE HUGO</t>
  </si>
  <si>
    <t>PRIMEROS OFICIALES DE CUBIERTA</t>
  </si>
  <si>
    <t>A15 GOMEZ GUSTAVO; A18 BARRIENTOS MIGUEL; A19 MARTINEZ ROBERTO; RELEVO LOPEZ HUGO</t>
  </si>
  <si>
    <t>JEFES DE MAQUINAS</t>
  </si>
  <si>
    <t>VII LOGGIA DIEGO; VIII UGARTE ALCIDES; A14 FERRARA MARIANO; A15 LOGGIA FERNANDO; A16 PEREZ HERNAN; A17 TOLOSA DANIEL; A18 HERRERA ADRIAN; A19 RIOS EDUARDO; RELEVO SCALI ALEJANDRO</t>
  </si>
  <si>
    <t>PRIMEROS OFICIALES DE MAQUINAS</t>
  </si>
  <si>
    <t>A17 DORADO EMANUEL; RELEVO MONTEROS FABIAN</t>
  </si>
  <si>
    <t>TRIPULANTES ESPAÑOLES FUERA DE CONVENIO - REEMPLAZOS ARGENTINOS</t>
  </si>
  <si>
    <t>VII SANDOVAL MIGUEL; VIII CRIMI FLAVIO; A14 MELLONI SERGIO; A15 FERNANDEZ FABIAN (E); A16 GARCIA JUAN; A17 VILLA MILTON; A18 VILLEGAS JUAN (E); A19 SEVILLA RAMON (E)</t>
  </si>
  <si>
    <t>GARANTIAS DE MAQUINAS</t>
  </si>
  <si>
    <t>VII FERNANDEZ DIEGO; VIII ARAGON JULIO (-15%); A14 LEDESMA CARLOS; A15 ORELLANA EVELIO; A16 ORELLANA JOSE; A17 CAMPAÑA JOSE (E); A18 DAVIES FEDERICO (-15%); A19 SALINAS ALEJANDRO</t>
  </si>
  <si>
    <t>CONTRAMAESTRES</t>
  </si>
  <si>
    <t>VII VILTE GUSTAVO Y GONZALEZ MAURICIO; VIII GONZALEZ JOSE Y SCATASSA LEONARDO; A14 OBREGON ABEL Y CAVALOTTI CARLOS; A15 ROMERO CESAR Y CHAVEZ MIGUEL; A16 JARA ISMAEL Y MONTAÑA SIMON ; A17 GALIANO JORGE Y VEGA MIGUEL; A18 ACUÑA GUSTAVO Y CAVALOTTI JUAN; A19 MARTINEZ ALEJANDRO Y PARED JULIO</t>
  </si>
  <si>
    <t>6000 a 8000</t>
  </si>
  <si>
    <t>8000 a 8500</t>
  </si>
  <si>
    <t>Valor Expo Langostino Entero - Promedio Trimestral</t>
  </si>
  <si>
    <t>VALORES DE PRODUCCION BUQUES TANGONEROS</t>
  </si>
  <si>
    <t>&lt; USD 6000</t>
  </si>
  <si>
    <t>USD 6000 a USD 8000</t>
  </si>
  <si>
    <t>USD 8000 a USD 8500</t>
  </si>
  <si>
    <t xml:space="preserve">Bandas de valores según promedio trimestral de operaciones de exportación del langostino entero en el mercado internacional, vigente al momento de la liquidación y con revisión mensual (fuente Dirección Nacional de Aduanas). </t>
  </si>
  <si>
    <t>En el caso de que el valor del promedio de exportación del langostino entero supere los USD 8501/tn, los valores aquí expresados se incrementarán proporcionalmente en idéntico porcentaje.</t>
  </si>
  <si>
    <t>JEFE DE MAQUINAS</t>
  </si>
  <si>
    <t>15% Adicional tareas mecánicas</t>
  </si>
  <si>
    <t>PRIMER OFICIAL DE CUBIERTA</t>
  </si>
  <si>
    <t>PRIMER OFICIAL DE MAQUINAS</t>
  </si>
  <si>
    <t>CONTRAMAESTRE DE CUBIERTA Y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</si>
</sst>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"/>
    <numFmt numFmtId="165" formatCode="[$USD]\ #,##0.00"/>
  </numFmts>
  <fonts count="1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u/>
      <sz val="8"/>
      <color theme="1"/>
      <name val="Aptos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b/>
      <i/>
      <sz val="8"/>
      <color theme="0" tint="-0.499984740745262"/>
      <name val="Aptos"/>
      <family val="2"/>
    </font>
    <font>
      <b/>
      <sz val="8"/>
      <color theme="0" tint="-0.499984740745262"/>
      <name val="Aptos"/>
      <family val="2"/>
    </font>
    <font>
      <sz val="11"/>
      <color theme="1"/>
      <name val="Calibri"/>
      <family val="2"/>
      <scheme val="minor"/>
    </font>
    <font>
      <b/>
      <sz val="8"/>
      <name val="Aptos"/>
      <family val="2"/>
    </font>
    <font>
      <b/>
      <u/>
      <sz val="14"/>
      <color theme="1"/>
      <name val="Aptos"/>
      <family val="2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theme="0" tint="-0.499984740745262"/>
      <name val="Aptos"/>
      <family val="2"/>
    </font>
    <font>
      <b/>
      <sz val="12"/>
      <color theme="0" tint="-0.499984740745262"/>
      <name val="Calibri"/>
      <family val="2"/>
      <scheme val="minor"/>
    </font>
    <font>
      <b/>
      <sz val="18"/>
      <color theme="1"/>
      <name val="Aptos"/>
      <family val="2"/>
    </font>
    <font>
      <b/>
      <sz val="14"/>
      <color theme="0" tint="-0.499984740745262"/>
      <name val="Calibri"/>
      <family val="2"/>
      <scheme val="minor"/>
    </font>
    <font>
      <b/>
      <sz val="14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7" fillId="0" borderId="0" applyFont="0" applyFill="0" applyBorder="0" applyAlignment="0" applyProtection="0"/>
  </cellStyleXfs>
  <cellXfs count="108">
    <xf numFmtId="0" fontId="0" fillId="0" borderId="0" xfId="0"/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4" fontId="4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2" xfId="0" applyFont="1" applyBorder="1"/>
    <xf numFmtId="0" fontId="4" fillId="0" borderId="2" xfId="0" applyFont="1" applyBorder="1"/>
    <xf numFmtId="10" fontId="3" fillId="4" borderId="5" xfId="0" applyNumberFormat="1" applyFont="1" applyFill="1" applyBorder="1" applyAlignment="1">
      <alignment horizontal="center"/>
    </xf>
    <xf numFmtId="4" fontId="4" fillId="4" borderId="4" xfId="0" applyNumberFormat="1" applyFont="1" applyFill="1" applyBorder="1"/>
    <xf numFmtId="4" fontId="4" fillId="4" borderId="1" xfId="0" applyNumberFormat="1" applyFont="1" applyFill="1" applyBorder="1"/>
    <xf numFmtId="4" fontId="4" fillId="4" borderId="5" xfId="0" applyNumberFormat="1" applyFont="1" applyFill="1" applyBorder="1"/>
    <xf numFmtId="4" fontId="4" fillId="4" borderId="6" xfId="0" applyNumberFormat="1" applyFont="1" applyFill="1" applyBorder="1"/>
    <xf numFmtId="4" fontId="4" fillId="4" borderId="7" xfId="0" applyNumberFormat="1" applyFont="1" applyFill="1" applyBorder="1"/>
    <xf numFmtId="10" fontId="3" fillId="3" borderId="5" xfId="0" applyNumberFormat="1" applyFont="1" applyFill="1" applyBorder="1" applyAlignment="1">
      <alignment horizontal="center"/>
    </xf>
    <xf numFmtId="4" fontId="4" fillId="3" borderId="4" xfId="0" applyNumberFormat="1" applyFont="1" applyFill="1" applyBorder="1"/>
    <xf numFmtId="4" fontId="4" fillId="3" borderId="1" xfId="0" applyNumberFormat="1" applyFont="1" applyFill="1" applyBorder="1"/>
    <xf numFmtId="4" fontId="4" fillId="3" borderId="5" xfId="0" applyNumberFormat="1" applyFont="1" applyFill="1" applyBorder="1"/>
    <xf numFmtId="4" fontId="4" fillId="3" borderId="6" xfId="0" applyNumberFormat="1" applyFont="1" applyFill="1" applyBorder="1"/>
    <xf numFmtId="4" fontId="4" fillId="3" borderId="7" xfId="0" applyNumberFormat="1" applyFont="1" applyFill="1" applyBorder="1"/>
    <xf numFmtId="9" fontId="4" fillId="0" borderId="0" xfId="2" applyFont="1"/>
    <xf numFmtId="14" fontId="2" fillId="4" borderId="3" xfId="0" applyNumberFormat="1" applyFont="1" applyFill="1" applyBorder="1"/>
    <xf numFmtId="164" fontId="4" fillId="4" borderId="11" xfId="0" applyNumberFormat="1" applyFont="1" applyFill="1" applyBorder="1"/>
    <xf numFmtId="4" fontId="3" fillId="4" borderId="4" xfId="0" applyNumberFormat="1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5" borderId="7" xfId="0" applyNumberFormat="1" applyFont="1" applyFill="1" applyBorder="1"/>
    <xf numFmtId="4" fontId="4" fillId="5" borderId="8" xfId="0" applyNumberFormat="1" applyFont="1" applyFill="1" applyBorder="1"/>
    <xf numFmtId="0" fontId="2" fillId="4" borderId="10" xfId="0" applyFont="1" applyFill="1" applyBorder="1"/>
    <xf numFmtId="164" fontId="4" fillId="4" borderId="12" xfId="0" applyNumberFormat="1" applyFont="1" applyFill="1" applyBorder="1"/>
    <xf numFmtId="14" fontId="2" fillId="0" borderId="0" xfId="0" applyNumberFormat="1" applyFont="1"/>
    <xf numFmtId="0" fontId="8" fillId="0" borderId="0" xfId="0" applyFont="1"/>
    <xf numFmtId="0" fontId="6" fillId="0" borderId="0" xfId="0" applyFont="1"/>
    <xf numFmtId="0" fontId="4" fillId="0" borderId="5" xfId="0" applyFont="1" applyBorder="1"/>
    <xf numFmtId="0" fontId="3" fillId="4" borderId="16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7" xfId="0" applyFont="1" applyFill="1" applyBorder="1" applyAlignment="1">
      <alignment horizontal="center"/>
    </xf>
    <xf numFmtId="4" fontId="3" fillId="4" borderId="5" xfId="0" applyNumberFormat="1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7" xfId="0" applyFont="1" applyFill="1" applyBorder="1" applyAlignment="1">
      <alignment horizontal="center"/>
    </xf>
    <xf numFmtId="4" fontId="3" fillId="3" borderId="5" xfId="0" applyNumberFormat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7" xfId="0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4" fontId="4" fillId="2" borderId="4" xfId="0" applyNumberFormat="1" applyFont="1" applyFill="1" applyBorder="1"/>
    <xf numFmtId="4" fontId="4" fillId="2" borderId="1" xfId="0" applyNumberFormat="1" applyFont="1" applyFill="1" applyBorder="1"/>
    <xf numFmtId="4" fontId="4" fillId="2" borderId="5" xfId="0" applyNumberFormat="1" applyFont="1" applyFill="1" applyBorder="1"/>
    <xf numFmtId="4" fontId="4" fillId="2" borderId="6" xfId="0" applyNumberFormat="1" applyFont="1" applyFill="1" applyBorder="1"/>
    <xf numFmtId="4" fontId="4" fillId="2" borderId="7" xfId="0" applyNumberFormat="1" applyFont="1" applyFill="1" applyBorder="1"/>
    <xf numFmtId="10" fontId="3" fillId="2" borderId="5" xfId="0" applyNumberFormat="1" applyFont="1" applyFill="1" applyBorder="1" applyAlignment="1">
      <alignment horizontal="center"/>
    </xf>
    <xf numFmtId="164" fontId="9" fillId="0" borderId="0" xfId="0" applyNumberFormat="1" applyFont="1"/>
    <xf numFmtId="0" fontId="9" fillId="0" borderId="0" xfId="0" applyFont="1"/>
    <xf numFmtId="0" fontId="11" fillId="0" borderId="0" xfId="0" applyFont="1"/>
    <xf numFmtId="164" fontId="11" fillId="0" borderId="0" xfId="0" applyNumberFormat="1" applyFont="1"/>
    <xf numFmtId="0" fontId="10" fillId="0" borderId="1" xfId="0" applyFont="1" applyBorder="1"/>
    <xf numFmtId="0" fontId="11" fillId="0" borderId="1" xfId="0" applyFont="1" applyBorder="1"/>
    <xf numFmtId="0" fontId="14" fillId="0" borderId="0" xfId="0" applyFont="1" applyAlignment="1">
      <alignment horizontal="center"/>
    </xf>
    <xf numFmtId="0" fontId="13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164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" fontId="11" fillId="0" borderId="1" xfId="0" applyNumberFormat="1" applyFont="1" applyBorder="1"/>
    <xf numFmtId="4" fontId="11" fillId="0" borderId="0" xfId="0" applyNumberFormat="1" applyFont="1"/>
    <xf numFmtId="0" fontId="10" fillId="0" borderId="0" xfId="0" quotePrefix="1" applyFont="1"/>
    <xf numFmtId="10" fontId="3" fillId="3" borderId="1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/>
    </xf>
    <xf numFmtId="164" fontId="3" fillId="2" borderId="12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4" fontId="3" fillId="2" borderId="13" xfId="0" applyNumberFormat="1" applyFont="1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/>
    </xf>
    <xf numFmtId="4" fontId="3" fillId="2" borderId="15" xfId="0" applyNumberFormat="1" applyFont="1" applyFill="1" applyBorder="1" applyAlignment="1">
      <alignment horizontal="center"/>
    </xf>
    <xf numFmtId="4" fontId="3" fillId="4" borderId="13" xfId="0" applyNumberFormat="1" applyFont="1" applyFill="1" applyBorder="1" applyAlignment="1">
      <alignment horizontal="center"/>
    </xf>
    <xf numFmtId="4" fontId="3" fillId="4" borderId="14" xfId="0" applyNumberFormat="1" applyFont="1" applyFill="1" applyBorder="1" applyAlignment="1">
      <alignment horizontal="center"/>
    </xf>
    <xf numFmtId="4" fontId="3" fillId="4" borderId="15" xfId="0" applyNumberFormat="1" applyFont="1" applyFill="1" applyBorder="1" applyAlignment="1">
      <alignment horizontal="center"/>
    </xf>
    <xf numFmtId="4" fontId="3" fillId="3" borderId="13" xfId="0" applyNumberFormat="1" applyFont="1" applyFill="1" applyBorder="1" applyAlignment="1">
      <alignment horizontal="center"/>
    </xf>
    <xf numFmtId="4" fontId="3" fillId="3" borderId="14" xfId="0" applyNumberFormat="1" applyFont="1" applyFill="1" applyBorder="1" applyAlignment="1">
      <alignment horizontal="center"/>
    </xf>
    <xf numFmtId="4" fontId="3" fillId="3" borderId="15" xfId="0" applyNumberFormat="1" applyFont="1" applyFill="1" applyBorder="1" applyAlignment="1">
      <alignment horizontal="center"/>
    </xf>
    <xf numFmtId="10" fontId="3" fillId="2" borderId="4" xfId="0" applyNumberFormat="1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10" fontId="3" fillId="4" borderId="4" xfId="0" applyNumberFormat="1" applyFont="1" applyFill="1" applyBorder="1" applyAlignment="1">
      <alignment horizontal="center"/>
    </xf>
    <xf numFmtId="10" fontId="3" fillId="4" borderId="1" xfId="0" applyNumberFormat="1" applyFont="1" applyFill="1" applyBorder="1" applyAlignment="1">
      <alignment horizontal="center"/>
    </xf>
    <xf numFmtId="10" fontId="3" fillId="3" borderId="4" xfId="0" applyNumberFormat="1" applyFont="1" applyFill="1" applyBorder="1" applyAlignment="1">
      <alignment horizontal="center"/>
    </xf>
    <xf numFmtId="4" fontId="3" fillId="3" borderId="18" xfId="0" applyNumberFormat="1" applyFont="1" applyFill="1" applyBorder="1" applyAlignment="1">
      <alignment horizontal="center" vertical="center" wrapText="1"/>
    </xf>
    <xf numFmtId="4" fontId="3" fillId="3" borderId="9" xfId="0" applyNumberFormat="1" applyFont="1" applyFill="1" applyBorder="1" applyAlignment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3" fillId="2" borderId="9" xfId="0" applyNumberFormat="1" applyFont="1" applyFill="1" applyBorder="1" applyAlignment="1">
      <alignment horizontal="center" vertical="center" wrapText="1"/>
    </xf>
    <xf numFmtId="4" fontId="3" fillId="4" borderId="18" xfId="0" applyNumberFormat="1" applyFont="1" applyFill="1" applyBorder="1" applyAlignment="1">
      <alignment horizontal="center" vertical="center" wrapText="1"/>
    </xf>
    <xf numFmtId="4" fontId="3" fillId="4" borderId="9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3">
    <cellStyle name="Normal" xfId="0" builtinId="0"/>
    <cellStyle name="Normal 2" xfId="1" xr:uid="{BFEEB67D-4982-427D-948A-D592EACAF7EF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27E0-AFBD-4D9D-B72F-FF697D6327AA}">
  <sheetPr>
    <pageSetUpPr fitToPage="1"/>
  </sheetPr>
  <dimension ref="A1:S42"/>
  <sheetViews>
    <sheetView showGridLines="0" zoomScale="90" zoomScaleNormal="90" workbookViewId="0">
      <selection activeCell="G27" sqref="G27:G28"/>
    </sheetView>
  </sheetViews>
  <sheetFormatPr baseColWidth="10" defaultColWidth="11.5703125" defaultRowHeight="11.25" x14ac:dyDescent="0.2"/>
  <cols>
    <col min="1" max="1" width="33.85546875" style="9" customWidth="1"/>
    <col min="2" max="3" width="11.28515625" style="6" customWidth="1"/>
    <col min="4" max="4" width="11.28515625" style="7" customWidth="1"/>
    <col min="5" max="5" width="11.28515625" style="8" customWidth="1"/>
    <col min="6" max="19" width="11.28515625" style="9" customWidth="1"/>
    <col min="20" max="20" width="14.7109375" style="9" customWidth="1"/>
    <col min="21" max="16384" width="11.5703125" style="9"/>
  </cols>
  <sheetData>
    <row r="1" spans="1:13" s="4" customFormat="1" ht="12" thickBot="1" x14ac:dyDescent="0.25">
      <c r="A1" s="26" t="s">
        <v>22</v>
      </c>
      <c r="B1" s="1"/>
      <c r="C1" s="1"/>
      <c r="D1" s="2"/>
      <c r="E1" s="3"/>
    </row>
    <row r="2" spans="1:13" s="4" customFormat="1" ht="12" thickBot="1" x14ac:dyDescent="0.25">
      <c r="A2" s="36"/>
      <c r="B2" s="1"/>
      <c r="C2" s="1"/>
      <c r="D2" s="2"/>
      <c r="E2" s="3"/>
    </row>
    <row r="3" spans="1:13" ht="12" thickBot="1" x14ac:dyDescent="0.25">
      <c r="A3" s="5" t="s">
        <v>39</v>
      </c>
      <c r="B3" s="75" t="s">
        <v>17</v>
      </c>
      <c r="C3" s="76"/>
      <c r="D3" s="76"/>
      <c r="E3" s="77"/>
      <c r="F3" s="78" t="s">
        <v>37</v>
      </c>
      <c r="G3" s="79"/>
      <c r="H3" s="79"/>
      <c r="I3" s="80"/>
      <c r="J3" s="81" t="s">
        <v>38</v>
      </c>
      <c r="K3" s="82"/>
      <c r="L3" s="82"/>
      <c r="M3" s="83"/>
    </row>
    <row r="4" spans="1:13" s="5" customFormat="1" x14ac:dyDescent="0.2">
      <c r="A4" s="5" t="s">
        <v>18</v>
      </c>
      <c r="B4" s="48">
        <v>115</v>
      </c>
      <c r="C4" s="49">
        <v>85</v>
      </c>
      <c r="D4" s="49">
        <v>100</v>
      </c>
      <c r="E4" s="50">
        <v>85</v>
      </c>
      <c r="F4" s="40">
        <v>115</v>
      </c>
      <c r="G4" s="41">
        <v>85</v>
      </c>
      <c r="H4" s="41">
        <v>100</v>
      </c>
      <c r="I4" s="42">
        <v>85</v>
      </c>
      <c r="J4" s="44">
        <v>115</v>
      </c>
      <c r="K4" s="45">
        <v>85</v>
      </c>
      <c r="L4" s="45">
        <v>100</v>
      </c>
      <c r="M4" s="46">
        <v>85</v>
      </c>
    </row>
    <row r="5" spans="1:13" x14ac:dyDescent="0.2">
      <c r="A5" s="11" t="s">
        <v>1</v>
      </c>
      <c r="B5" s="51" t="s">
        <v>0</v>
      </c>
      <c r="C5" s="52" t="s">
        <v>10</v>
      </c>
      <c r="D5" s="52" t="s">
        <v>12</v>
      </c>
      <c r="E5" s="53" t="s">
        <v>11</v>
      </c>
      <c r="F5" s="28" t="s">
        <v>0</v>
      </c>
      <c r="G5" s="29" t="s">
        <v>10</v>
      </c>
      <c r="H5" s="29" t="s">
        <v>12</v>
      </c>
      <c r="I5" s="43" t="s">
        <v>11</v>
      </c>
      <c r="J5" s="30" t="s">
        <v>0</v>
      </c>
      <c r="K5" s="31" t="s">
        <v>10</v>
      </c>
      <c r="L5" s="31" t="s">
        <v>12</v>
      </c>
      <c r="M5" s="47" t="s">
        <v>11</v>
      </c>
    </row>
    <row r="6" spans="1:13" x14ac:dyDescent="0.2">
      <c r="A6" s="12" t="s">
        <v>2</v>
      </c>
      <c r="B6" s="54">
        <v>112.67100000000001</v>
      </c>
      <c r="C6" s="55">
        <v>83.277000000000001</v>
      </c>
      <c r="D6" s="55">
        <v>97.974000000000004</v>
      </c>
      <c r="E6" s="56">
        <v>83.277000000000001</v>
      </c>
      <c r="F6" s="14">
        <v>118.44900000000001</v>
      </c>
      <c r="G6" s="15">
        <v>87.548939999999988</v>
      </c>
      <c r="H6" s="15">
        <v>103.00265999999999</v>
      </c>
      <c r="I6" s="16">
        <v>87.548939999999988</v>
      </c>
      <c r="J6" s="20">
        <v>144.45000000000002</v>
      </c>
      <c r="K6" s="21">
        <v>106.767</v>
      </c>
      <c r="L6" s="21">
        <v>125.613</v>
      </c>
      <c r="M6" s="22">
        <v>106.767</v>
      </c>
    </row>
    <row r="7" spans="1:13" x14ac:dyDescent="0.2">
      <c r="A7" s="12" t="s">
        <v>3</v>
      </c>
      <c r="B7" s="54">
        <v>83.628</v>
      </c>
      <c r="C7" s="55">
        <v>61.812000000000005</v>
      </c>
      <c r="D7" s="55">
        <v>72.72</v>
      </c>
      <c r="E7" s="56">
        <v>61.812000000000005</v>
      </c>
      <c r="F7" s="14">
        <v>87.917939999999987</v>
      </c>
      <c r="G7" s="15">
        <v>64.980900000000005</v>
      </c>
      <c r="H7" s="15">
        <v>76.449420000000003</v>
      </c>
      <c r="I7" s="16">
        <v>64.980900000000005</v>
      </c>
      <c r="J7" s="20">
        <v>107.217</v>
      </c>
      <c r="K7" s="21">
        <v>79.245000000000005</v>
      </c>
      <c r="L7" s="21">
        <v>93.231000000000009</v>
      </c>
      <c r="M7" s="22">
        <v>79.245000000000005</v>
      </c>
    </row>
    <row r="8" spans="1:13" x14ac:dyDescent="0.2">
      <c r="A8" s="12" t="s">
        <v>4</v>
      </c>
      <c r="B8" s="54">
        <v>67.95</v>
      </c>
      <c r="C8" s="55">
        <v>50.229000000000006</v>
      </c>
      <c r="D8" s="55">
        <v>59.085000000000008</v>
      </c>
      <c r="E8" s="56">
        <v>50.229000000000006</v>
      </c>
      <c r="F8" s="14">
        <v>71.438400000000001</v>
      </c>
      <c r="G8" s="15">
        <v>52.803899999999992</v>
      </c>
      <c r="H8" s="15">
        <v>62.117459999999994</v>
      </c>
      <c r="I8" s="16">
        <v>52.803899999999992</v>
      </c>
      <c r="J8" s="20">
        <v>87.12</v>
      </c>
      <c r="K8" s="21">
        <v>64.394999999999996</v>
      </c>
      <c r="L8" s="21">
        <v>75.753</v>
      </c>
      <c r="M8" s="22">
        <v>64.394999999999996</v>
      </c>
    </row>
    <row r="9" spans="1:13" x14ac:dyDescent="0.2">
      <c r="A9" s="12" t="s">
        <v>5</v>
      </c>
      <c r="B9" s="54">
        <v>55.521000000000001</v>
      </c>
      <c r="C9" s="55">
        <v>41.048999999999999</v>
      </c>
      <c r="D9" s="55">
        <v>48.276000000000003</v>
      </c>
      <c r="E9" s="56">
        <v>41.048999999999999</v>
      </c>
      <c r="F9" s="14">
        <v>58.375799999999998</v>
      </c>
      <c r="G9" s="15">
        <v>43.150859999999994</v>
      </c>
      <c r="H9" s="15">
        <v>50.759639999999997</v>
      </c>
      <c r="I9" s="16">
        <v>43.150859999999994</v>
      </c>
      <c r="J9" s="20">
        <v>71.19</v>
      </c>
      <c r="K9" s="21">
        <v>52.622999999999998</v>
      </c>
      <c r="L9" s="21">
        <v>61.902000000000001</v>
      </c>
      <c r="M9" s="22">
        <v>52.622999999999998</v>
      </c>
    </row>
    <row r="10" spans="1:13" x14ac:dyDescent="0.2">
      <c r="A10" s="12" t="s">
        <v>6</v>
      </c>
      <c r="B10" s="54">
        <v>111.54600000000001</v>
      </c>
      <c r="C10" s="55">
        <v>82.448999999999998</v>
      </c>
      <c r="D10" s="55">
        <v>96.992999999999995</v>
      </c>
      <c r="E10" s="56">
        <v>82.448999999999998</v>
      </c>
      <c r="F10" s="14">
        <v>117.26820000000001</v>
      </c>
      <c r="G10" s="15">
        <v>86.678099999999986</v>
      </c>
      <c r="H10" s="15">
        <v>101.96945999999998</v>
      </c>
      <c r="I10" s="16">
        <v>86.678099999999986</v>
      </c>
      <c r="J10" s="20">
        <v>143.01000000000002</v>
      </c>
      <c r="K10" s="21">
        <v>105.705</v>
      </c>
      <c r="L10" s="21">
        <v>124.35299999999999</v>
      </c>
      <c r="M10" s="22">
        <v>105.705</v>
      </c>
    </row>
    <row r="11" spans="1:13" x14ac:dyDescent="0.2">
      <c r="A11" s="12" t="s">
        <v>7</v>
      </c>
      <c r="B11" s="54">
        <v>67.95</v>
      </c>
      <c r="C11" s="55">
        <v>50.229000000000006</v>
      </c>
      <c r="D11" s="55">
        <v>59.085000000000008</v>
      </c>
      <c r="E11" s="56">
        <v>50.229000000000006</v>
      </c>
      <c r="F11" s="14">
        <v>71.438400000000001</v>
      </c>
      <c r="G11" s="15">
        <v>52.803899999999992</v>
      </c>
      <c r="H11" s="15">
        <v>62.117459999999994</v>
      </c>
      <c r="I11" s="16">
        <v>52.803899999999992</v>
      </c>
      <c r="J11" s="20">
        <v>87.12</v>
      </c>
      <c r="K11" s="21">
        <v>64.394999999999996</v>
      </c>
      <c r="L11" s="21">
        <v>75.753</v>
      </c>
      <c r="M11" s="22">
        <v>64.394999999999996</v>
      </c>
    </row>
    <row r="12" spans="1:13" x14ac:dyDescent="0.2">
      <c r="A12" s="10" t="s">
        <v>20</v>
      </c>
    </row>
    <row r="13" spans="1:13" x14ac:dyDescent="0.2">
      <c r="A13" s="37" t="s">
        <v>23</v>
      </c>
    </row>
    <row r="14" spans="1:13" x14ac:dyDescent="0.2">
      <c r="A14" s="38" t="s">
        <v>24</v>
      </c>
    </row>
    <row r="15" spans="1:13" x14ac:dyDescent="0.2">
      <c r="A15" s="37" t="s">
        <v>25</v>
      </c>
    </row>
    <row r="16" spans="1:13" x14ac:dyDescent="0.2">
      <c r="A16" s="38" t="s">
        <v>26</v>
      </c>
    </row>
    <row r="17" spans="1:19" x14ac:dyDescent="0.2">
      <c r="A17" s="37" t="s">
        <v>27</v>
      </c>
    </row>
    <row r="18" spans="1:19" x14ac:dyDescent="0.2">
      <c r="A18" s="38" t="s">
        <v>28</v>
      </c>
    </row>
    <row r="19" spans="1:19" x14ac:dyDescent="0.2">
      <c r="A19" s="37" t="s">
        <v>29</v>
      </c>
    </row>
    <row r="20" spans="1:19" x14ac:dyDescent="0.2">
      <c r="A20" s="38" t="s">
        <v>30</v>
      </c>
    </row>
    <row r="22" spans="1:19" ht="12" thickBot="1" x14ac:dyDescent="0.25"/>
    <row r="23" spans="1:19" ht="12" thickBot="1" x14ac:dyDescent="0.25">
      <c r="A23" s="34" t="s">
        <v>31</v>
      </c>
      <c r="B23" s="35"/>
      <c r="C23" s="27"/>
      <c r="D23" s="9"/>
      <c r="E23" s="9"/>
    </row>
    <row r="24" spans="1:19" ht="12" thickBot="1" x14ac:dyDescent="0.25">
      <c r="B24" s="8"/>
      <c r="C24" s="8"/>
      <c r="D24" s="8"/>
      <c r="F24" s="8"/>
      <c r="G24" s="8"/>
      <c r="H24" s="8"/>
      <c r="I24" s="8"/>
      <c r="J24" s="8"/>
      <c r="K24" s="8"/>
      <c r="L24" s="8"/>
      <c r="M24" s="8"/>
    </row>
    <row r="25" spans="1:19" x14ac:dyDescent="0.2">
      <c r="A25" s="5" t="s">
        <v>39</v>
      </c>
      <c r="B25" s="84" t="s">
        <v>17</v>
      </c>
      <c r="C25" s="85"/>
      <c r="D25" s="85"/>
      <c r="E25" s="85"/>
      <c r="F25" s="85"/>
      <c r="G25" s="86"/>
      <c r="H25" s="87" t="s">
        <v>37</v>
      </c>
      <c r="I25" s="88"/>
      <c r="J25" s="88"/>
      <c r="K25" s="88"/>
      <c r="L25" s="88"/>
      <c r="M25" s="89"/>
      <c r="N25" s="90" t="s">
        <v>38</v>
      </c>
      <c r="O25" s="91"/>
      <c r="P25" s="91"/>
      <c r="Q25" s="91"/>
      <c r="R25" s="91"/>
      <c r="S25" s="92"/>
    </row>
    <row r="26" spans="1:19" s="5" customFormat="1" x14ac:dyDescent="0.2">
      <c r="B26" s="93">
        <v>0.06</v>
      </c>
      <c r="C26" s="94"/>
      <c r="D26" s="94">
        <v>2.5000000000000001E-2</v>
      </c>
      <c r="E26" s="94"/>
      <c r="F26" s="94"/>
      <c r="G26" s="59">
        <v>1.4999999999999999E-2</v>
      </c>
      <c r="H26" s="95">
        <v>0.06</v>
      </c>
      <c r="I26" s="96"/>
      <c r="J26" s="96">
        <v>2.5000000000000001E-2</v>
      </c>
      <c r="K26" s="96"/>
      <c r="L26" s="96"/>
      <c r="M26" s="13">
        <v>1.4999999999999999E-2</v>
      </c>
      <c r="N26" s="97">
        <v>0.06</v>
      </c>
      <c r="O26" s="74"/>
      <c r="P26" s="74">
        <v>2.5000000000000001E-2</v>
      </c>
      <c r="Q26" s="74"/>
      <c r="R26" s="74"/>
      <c r="S26" s="19">
        <v>1.4999999999999999E-2</v>
      </c>
    </row>
    <row r="27" spans="1:19" s="5" customFormat="1" ht="15" customHeight="1" x14ac:dyDescent="0.2">
      <c r="A27" s="5" t="s">
        <v>18</v>
      </c>
      <c r="B27" s="93" t="s">
        <v>13</v>
      </c>
      <c r="C27" s="94"/>
      <c r="D27" s="94" t="s">
        <v>8</v>
      </c>
      <c r="E27" s="94"/>
      <c r="F27" s="94"/>
      <c r="G27" s="100" t="s">
        <v>9</v>
      </c>
      <c r="H27" s="95" t="s">
        <v>13</v>
      </c>
      <c r="I27" s="96"/>
      <c r="J27" s="96" t="s">
        <v>8</v>
      </c>
      <c r="K27" s="96"/>
      <c r="L27" s="96"/>
      <c r="M27" s="102" t="s">
        <v>9</v>
      </c>
      <c r="N27" s="97" t="s">
        <v>13</v>
      </c>
      <c r="O27" s="74"/>
      <c r="P27" s="74" t="s">
        <v>8</v>
      </c>
      <c r="Q27" s="74"/>
      <c r="R27" s="74"/>
      <c r="S27" s="98" t="s">
        <v>9</v>
      </c>
    </row>
    <row r="28" spans="1:19" x14ac:dyDescent="0.2">
      <c r="A28" s="11" t="s">
        <v>1</v>
      </c>
      <c r="B28" s="51" t="s">
        <v>15</v>
      </c>
      <c r="C28" s="52" t="s">
        <v>16</v>
      </c>
      <c r="D28" s="52" t="s">
        <v>15</v>
      </c>
      <c r="E28" s="52" t="s">
        <v>16</v>
      </c>
      <c r="F28" s="52" t="s">
        <v>21</v>
      </c>
      <c r="G28" s="101"/>
      <c r="H28" s="28" t="s">
        <v>15</v>
      </c>
      <c r="I28" s="29" t="s">
        <v>16</v>
      </c>
      <c r="J28" s="29" t="s">
        <v>15</v>
      </c>
      <c r="K28" s="29" t="s">
        <v>16</v>
      </c>
      <c r="L28" s="29" t="s">
        <v>21</v>
      </c>
      <c r="M28" s="103"/>
      <c r="N28" s="30" t="s">
        <v>15</v>
      </c>
      <c r="O28" s="31" t="s">
        <v>16</v>
      </c>
      <c r="P28" s="31" t="s">
        <v>15</v>
      </c>
      <c r="Q28" s="31" t="s">
        <v>16</v>
      </c>
      <c r="R28" s="31" t="s">
        <v>21</v>
      </c>
      <c r="S28" s="99"/>
    </row>
    <row r="29" spans="1:19" x14ac:dyDescent="0.2">
      <c r="A29" s="12" t="s">
        <v>2</v>
      </c>
      <c r="B29" s="54">
        <v>197.60063400000004</v>
      </c>
      <c r="C29" s="55">
        <v>184.76942400000001</v>
      </c>
      <c r="D29" s="55">
        <v>128.53181250000003</v>
      </c>
      <c r="E29" s="55">
        <v>142.81312500000001</v>
      </c>
      <c r="F29" s="55">
        <v>121.39115625000001</v>
      </c>
      <c r="G29" s="56">
        <v>85.687874999999991</v>
      </c>
      <c r="H29" s="14">
        <v>208.42806600000003</v>
      </c>
      <c r="I29" s="15">
        <v>194.893776</v>
      </c>
      <c r="J29" s="15">
        <v>135.12318750000003</v>
      </c>
      <c r="K29" s="15">
        <v>150.13687500000003</v>
      </c>
      <c r="L29" s="15">
        <v>127.61634375000003</v>
      </c>
      <c r="M29" s="16">
        <v>90.082125000000005</v>
      </c>
      <c r="N29" s="20">
        <v>270.68580000000003</v>
      </c>
      <c r="O29" s="21">
        <v>253.1088</v>
      </c>
      <c r="P29" s="21">
        <v>164.78437500000001</v>
      </c>
      <c r="Q29" s="21">
        <v>183.09375</v>
      </c>
      <c r="R29" s="21">
        <v>155.62968749999999</v>
      </c>
      <c r="S29" s="22">
        <v>109.85625</v>
      </c>
    </row>
    <row r="30" spans="1:19" x14ac:dyDescent="0.2">
      <c r="A30" s="12" t="s">
        <v>3</v>
      </c>
      <c r="B30" s="54">
        <v>172.10377800000001</v>
      </c>
      <c r="C30" s="55">
        <v>160.92820800000001</v>
      </c>
      <c r="D30" s="55">
        <v>111.94706250000002</v>
      </c>
      <c r="E30" s="55">
        <v>124.38562500000002</v>
      </c>
      <c r="F30" s="55">
        <v>105.72778125000001</v>
      </c>
      <c r="G30" s="56">
        <v>74.631375000000006</v>
      </c>
      <c r="H30" s="14">
        <v>181.53412200000002</v>
      </c>
      <c r="I30" s="15">
        <v>169.74619200000001</v>
      </c>
      <c r="J30" s="15">
        <v>117.68793750000003</v>
      </c>
      <c r="K30" s="15">
        <v>130.76437500000003</v>
      </c>
      <c r="L30" s="15">
        <v>111.14971875000002</v>
      </c>
      <c r="M30" s="16">
        <v>78.458624999999998</v>
      </c>
      <c r="N30" s="20">
        <v>235.7586</v>
      </c>
      <c r="O30" s="21">
        <v>220.4496</v>
      </c>
      <c r="P30" s="21">
        <v>143.52187499999999</v>
      </c>
      <c r="Q30" s="21">
        <v>159.46875</v>
      </c>
      <c r="R30" s="21">
        <v>135.54843750000001</v>
      </c>
      <c r="S30" s="22">
        <v>95.681250000000006</v>
      </c>
    </row>
    <row r="31" spans="1:19" x14ac:dyDescent="0.2">
      <c r="A31" s="12" t="s">
        <v>4</v>
      </c>
      <c r="B31" s="54">
        <v>146.60692200000003</v>
      </c>
      <c r="C31" s="55">
        <v>137.08699200000001</v>
      </c>
      <c r="D31" s="55">
        <v>95.362312500000016</v>
      </c>
      <c r="E31" s="55">
        <v>105.95812500000001</v>
      </c>
      <c r="F31" s="55">
        <v>90.064406250000005</v>
      </c>
      <c r="G31" s="56">
        <v>63.574875000000006</v>
      </c>
      <c r="H31" s="14">
        <v>154.64017800000002</v>
      </c>
      <c r="I31" s="15">
        <v>144.59860800000001</v>
      </c>
      <c r="J31" s="15">
        <v>100.25268750000001</v>
      </c>
      <c r="K31" s="15">
        <v>111.39187500000001</v>
      </c>
      <c r="L31" s="15">
        <v>94.683093750000012</v>
      </c>
      <c r="M31" s="16">
        <v>66.835125000000005</v>
      </c>
      <c r="N31" s="20">
        <v>200.83140000000003</v>
      </c>
      <c r="O31" s="21">
        <v>187.79040000000003</v>
      </c>
      <c r="P31" s="21">
        <v>122.25937500000001</v>
      </c>
      <c r="Q31" s="21">
        <v>135.84375</v>
      </c>
      <c r="R31" s="21">
        <v>115.46718749999999</v>
      </c>
      <c r="S31" s="22">
        <v>81.506250000000009</v>
      </c>
    </row>
    <row r="32" spans="1:19" x14ac:dyDescent="0.2">
      <c r="A32" s="12" t="s">
        <v>5</v>
      </c>
      <c r="B32" s="54">
        <v>133.85849400000001</v>
      </c>
      <c r="C32" s="55">
        <v>125.16638400000001</v>
      </c>
      <c r="D32" s="55">
        <v>87.069937500000009</v>
      </c>
      <c r="E32" s="55">
        <v>96.744375000000005</v>
      </c>
      <c r="F32" s="55">
        <v>82.232718750000004</v>
      </c>
      <c r="G32" s="56">
        <v>58.046625000000006</v>
      </c>
      <c r="H32" s="14">
        <v>141.193206</v>
      </c>
      <c r="I32" s="15">
        <v>132.02481599999999</v>
      </c>
      <c r="J32" s="15">
        <v>91.535062500000009</v>
      </c>
      <c r="K32" s="15">
        <v>101.70562500000001</v>
      </c>
      <c r="L32" s="15">
        <v>86.449781250000001</v>
      </c>
      <c r="M32" s="16">
        <v>61.023374999999994</v>
      </c>
      <c r="N32" s="20">
        <v>183.36780000000002</v>
      </c>
      <c r="O32" s="21">
        <v>171.46080000000001</v>
      </c>
      <c r="P32" s="21">
        <v>111.628125</v>
      </c>
      <c r="Q32" s="21">
        <v>124.03125</v>
      </c>
      <c r="R32" s="21">
        <v>105.4265625</v>
      </c>
      <c r="S32" s="22">
        <v>74.418750000000003</v>
      </c>
    </row>
    <row r="33" spans="1:19" x14ac:dyDescent="0.2">
      <c r="A33" s="12" t="s">
        <v>6</v>
      </c>
      <c r="B33" s="54">
        <v>197.60063400000004</v>
      </c>
      <c r="C33" s="55">
        <v>184.76942400000001</v>
      </c>
      <c r="D33" s="55">
        <v>128.53181250000003</v>
      </c>
      <c r="E33" s="55">
        <v>142.81312500000001</v>
      </c>
      <c r="F33" s="55">
        <v>121.39115625000001</v>
      </c>
      <c r="G33" s="56">
        <v>85.687874999999991</v>
      </c>
      <c r="H33" s="14">
        <v>208.42806600000003</v>
      </c>
      <c r="I33" s="15">
        <v>194.893776</v>
      </c>
      <c r="J33" s="15">
        <v>135.12318750000003</v>
      </c>
      <c r="K33" s="15">
        <v>150.13687500000003</v>
      </c>
      <c r="L33" s="15">
        <v>127.61634375000003</v>
      </c>
      <c r="M33" s="16">
        <v>90.082125000000005</v>
      </c>
      <c r="N33" s="20">
        <v>270.68580000000003</v>
      </c>
      <c r="O33" s="21">
        <v>253.1088</v>
      </c>
      <c r="P33" s="21">
        <v>164.78437500000001</v>
      </c>
      <c r="Q33" s="21">
        <v>183.09375</v>
      </c>
      <c r="R33" s="21">
        <v>155.62968749999999</v>
      </c>
      <c r="S33" s="22">
        <v>109.85625</v>
      </c>
    </row>
    <row r="34" spans="1:19" x14ac:dyDescent="0.2">
      <c r="A34" s="12" t="s">
        <v>7</v>
      </c>
      <c r="B34" s="54">
        <v>165.72956400000001</v>
      </c>
      <c r="C34" s="55">
        <v>154.967904</v>
      </c>
      <c r="D34" s="55">
        <v>107.800875</v>
      </c>
      <c r="E34" s="55">
        <v>119.77875</v>
      </c>
      <c r="F34" s="55">
        <v>101.8119375</v>
      </c>
      <c r="G34" s="56">
        <v>71.867249999999999</v>
      </c>
      <c r="H34" s="14">
        <v>174.81063600000002</v>
      </c>
      <c r="I34" s="15">
        <v>163.45929599999999</v>
      </c>
      <c r="J34" s="15">
        <v>113.329125</v>
      </c>
      <c r="K34" s="15">
        <v>125.92125</v>
      </c>
      <c r="L34" s="15">
        <v>107.0330625</v>
      </c>
      <c r="M34" s="16">
        <v>75.552749999999989</v>
      </c>
      <c r="N34" s="20">
        <v>227.02680000000004</v>
      </c>
      <c r="O34" s="21">
        <v>212.28480000000002</v>
      </c>
      <c r="P34" s="21">
        <v>138.20625000000001</v>
      </c>
      <c r="Q34" s="21">
        <v>153.5625</v>
      </c>
      <c r="R34" s="21">
        <v>130.52812499999999</v>
      </c>
      <c r="S34" s="22">
        <v>92.137500000000003</v>
      </c>
    </row>
    <row r="35" spans="1:19" ht="12" thickBot="1" x14ac:dyDescent="0.25">
      <c r="A35" s="39" t="s">
        <v>14</v>
      </c>
      <c r="B35" s="57">
        <v>42.494759999999999</v>
      </c>
      <c r="C35" s="58">
        <v>39.73536</v>
      </c>
      <c r="D35" s="58">
        <v>18.954000000000004</v>
      </c>
      <c r="E35" s="32"/>
      <c r="F35" s="32"/>
      <c r="G35" s="33"/>
      <c r="H35" s="17">
        <v>44.823240000000013</v>
      </c>
      <c r="I35" s="18">
        <v>41.91264000000001</v>
      </c>
      <c r="J35" s="18">
        <v>19.925999999999998</v>
      </c>
      <c r="K35" s="32"/>
      <c r="L35" s="32"/>
      <c r="M35" s="33"/>
      <c r="N35" s="23">
        <v>58.21200000000001</v>
      </c>
      <c r="O35" s="24">
        <v>54.432000000000002</v>
      </c>
      <c r="P35" s="24">
        <v>24.3</v>
      </c>
      <c r="Q35" s="32"/>
      <c r="R35" s="32"/>
      <c r="S35" s="33"/>
    </row>
    <row r="36" spans="1:19" x14ac:dyDescent="0.2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9" x14ac:dyDescent="0.2">
      <c r="A37" s="37" t="s">
        <v>19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9" x14ac:dyDescent="0.2">
      <c r="A38" s="38" t="s">
        <v>32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9" x14ac:dyDescent="0.2">
      <c r="A39" s="37" t="s">
        <v>33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1:19" x14ac:dyDescent="0.2">
      <c r="A40" s="38" t="s">
        <v>34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1:19" x14ac:dyDescent="0.2">
      <c r="A41" s="37" t="s">
        <v>35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9" x14ac:dyDescent="0.2">
      <c r="A42" s="38" t="s">
        <v>36</v>
      </c>
      <c r="B42" s="25"/>
      <c r="C42" s="25"/>
      <c r="D42" s="25"/>
      <c r="E42" s="25"/>
      <c r="F42" s="25"/>
      <c r="G42" s="25"/>
    </row>
  </sheetData>
  <mergeCells count="21">
    <mergeCell ref="N27:O27"/>
    <mergeCell ref="P27:R27"/>
    <mergeCell ref="S27:S28"/>
    <mergeCell ref="B27:C27"/>
    <mergeCell ref="D27:F27"/>
    <mergeCell ref="G27:G28"/>
    <mergeCell ref="H27:I27"/>
    <mergeCell ref="J27:L27"/>
    <mergeCell ref="M27:M28"/>
    <mergeCell ref="P26:R26"/>
    <mergeCell ref="B3:E3"/>
    <mergeCell ref="F3:I3"/>
    <mergeCell ref="J3:M3"/>
    <mergeCell ref="B25:G25"/>
    <mergeCell ref="H25:M25"/>
    <mergeCell ref="N25:S25"/>
    <mergeCell ref="B26:C26"/>
    <mergeCell ref="D26:F26"/>
    <mergeCell ref="H26:I26"/>
    <mergeCell ref="J26:L26"/>
    <mergeCell ref="N26:O26"/>
  </mergeCells>
  <pageMargins left="0.70866141732283472" right="0.70866141732283472" top="0.74803149606299213" bottom="0.74803149606299213" header="0.31496062992125984" footer="0.31496062992125984"/>
  <pageSetup paperSize="9" scale="55" fitToHeight="0" orientation="landscape" r:id="rId1"/>
  <headerFooter>
    <oddHeader>&amp;L&amp;"-,Negrita"Valores de liquidación buques tangoneros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3D97-0A47-4F8D-9C2B-D214FA012F77}">
  <sheetPr>
    <pageSetUpPr fitToPage="1"/>
  </sheetPr>
  <dimension ref="A1:D21"/>
  <sheetViews>
    <sheetView showGridLines="0" zoomScale="90" zoomScaleNormal="90" workbookViewId="0">
      <selection sqref="A1:D1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4" s="61" customFormat="1" x14ac:dyDescent="0.3">
      <c r="A1" s="106" t="s">
        <v>40</v>
      </c>
      <c r="B1" s="106"/>
      <c r="C1" s="106"/>
      <c r="D1" s="106"/>
    </row>
    <row r="2" spans="1:4" s="61" customFormat="1" x14ac:dyDescent="0.3">
      <c r="B2" s="60"/>
    </row>
    <row r="3" spans="1:4" s="61" customFormat="1" ht="24" x14ac:dyDescent="0.4">
      <c r="A3" s="107" t="s">
        <v>0</v>
      </c>
      <c r="B3" s="107"/>
      <c r="C3" s="107"/>
      <c r="D3" s="107"/>
    </row>
    <row r="4" spans="1:4" s="61" customFormat="1" ht="24" x14ac:dyDescent="0.4">
      <c r="A4" s="66"/>
      <c r="B4" s="66"/>
      <c r="C4" s="66"/>
      <c r="D4" s="66"/>
    </row>
    <row r="5" spans="1:4" s="61" customFormat="1" ht="24" x14ac:dyDescent="0.4">
      <c r="A5" s="66"/>
      <c r="B5" s="66"/>
      <c r="C5" s="66"/>
      <c r="D5" s="66"/>
    </row>
    <row r="6" spans="1:4" s="61" customFormat="1" x14ac:dyDescent="0.3">
      <c r="A6" s="104" t="s">
        <v>44</v>
      </c>
      <c r="B6" s="105"/>
      <c r="C6" s="105"/>
      <c r="D6" s="105"/>
    </row>
    <row r="7" spans="1:4" s="61" customFormat="1" ht="18" customHeight="1" x14ac:dyDescent="0.3">
      <c r="A7" s="105"/>
      <c r="B7" s="105"/>
      <c r="C7" s="105"/>
      <c r="D7" s="105"/>
    </row>
    <row r="8" spans="1:4" s="61" customFormat="1" x14ac:dyDescent="0.3">
      <c r="A8" s="105"/>
      <c r="B8" s="105"/>
      <c r="C8" s="105"/>
      <c r="D8" s="105"/>
    </row>
    <row r="9" spans="1:4" s="61" customFormat="1" x14ac:dyDescent="0.3">
      <c r="A9" s="67"/>
      <c r="B9" s="67"/>
      <c r="C9" s="67"/>
      <c r="D9" s="67"/>
    </row>
    <row r="10" spans="1:4" s="61" customFormat="1" ht="37.5" x14ac:dyDescent="0.3">
      <c r="A10" s="68" t="s">
        <v>18</v>
      </c>
      <c r="B10" s="67"/>
      <c r="C10" s="67"/>
      <c r="D10" s="67"/>
    </row>
    <row r="11" spans="1:4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4" x14ac:dyDescent="0.3">
      <c r="A12" s="65" t="s">
        <v>2</v>
      </c>
      <c r="B12" s="71">
        <v>112.67100000000001</v>
      </c>
      <c r="C12" s="71">
        <v>118.44900000000001</v>
      </c>
      <c r="D12" s="71">
        <v>144.45000000000002</v>
      </c>
    </row>
    <row r="13" spans="1:4" x14ac:dyDescent="0.3">
      <c r="A13" s="65" t="s">
        <v>3</v>
      </c>
      <c r="B13" s="71">
        <v>83.628</v>
      </c>
      <c r="C13" s="71">
        <v>87.917939999999987</v>
      </c>
      <c r="D13" s="71">
        <v>107.217</v>
      </c>
    </row>
    <row r="14" spans="1:4" x14ac:dyDescent="0.3">
      <c r="A14" s="65" t="s">
        <v>4</v>
      </c>
      <c r="B14" s="71">
        <v>67.95</v>
      </c>
      <c r="C14" s="71">
        <v>71.438400000000001</v>
      </c>
      <c r="D14" s="71">
        <v>87.12</v>
      </c>
    </row>
    <row r="15" spans="1:4" x14ac:dyDescent="0.3">
      <c r="A15" s="65" t="s">
        <v>5</v>
      </c>
      <c r="B15" s="71">
        <v>55.521000000000001</v>
      </c>
      <c r="C15" s="71">
        <v>58.375799999999998</v>
      </c>
      <c r="D15" s="71">
        <v>71.19</v>
      </c>
    </row>
    <row r="16" spans="1:4" x14ac:dyDescent="0.3">
      <c r="A16" s="65" t="s">
        <v>6</v>
      </c>
      <c r="B16" s="71">
        <v>111.54600000000001</v>
      </c>
      <c r="C16" s="71">
        <v>117.26820000000001</v>
      </c>
      <c r="D16" s="71">
        <v>143.01000000000002</v>
      </c>
    </row>
    <row r="17" spans="1:4" x14ac:dyDescent="0.3">
      <c r="A17" s="65" t="s">
        <v>7</v>
      </c>
      <c r="B17" s="71">
        <v>67.95</v>
      </c>
      <c r="C17" s="71">
        <v>71.438400000000001</v>
      </c>
      <c r="D17" s="71">
        <v>87.12</v>
      </c>
    </row>
    <row r="19" spans="1:4" x14ac:dyDescent="0.3">
      <c r="A19" s="104" t="s">
        <v>45</v>
      </c>
      <c r="B19" s="105"/>
      <c r="C19" s="105"/>
      <c r="D19" s="105"/>
    </row>
    <row r="20" spans="1:4" x14ac:dyDescent="0.3">
      <c r="A20" s="105"/>
      <c r="B20" s="105"/>
      <c r="C20" s="105"/>
      <c r="D20" s="105"/>
    </row>
    <row r="21" spans="1:4" x14ac:dyDescent="0.3">
      <c r="A21" s="105"/>
      <c r="B21" s="105"/>
      <c r="C21" s="105"/>
      <c r="D21" s="105"/>
    </row>
  </sheetData>
  <mergeCells count="4">
    <mergeCell ref="A6:D8"/>
    <mergeCell ref="A1:D1"/>
    <mergeCell ref="A3:D3"/>
    <mergeCell ref="A19:D2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DF92-32E6-4729-8E13-E5E75213A47D}">
  <sheetPr>
    <pageSetUpPr fitToPage="1"/>
  </sheetPr>
  <dimension ref="A1:J21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10" s="61" customFormat="1" x14ac:dyDescent="0.3">
      <c r="A1" s="106" t="s">
        <v>40</v>
      </c>
      <c r="B1" s="106"/>
      <c r="C1" s="106"/>
      <c r="D1" s="106"/>
    </row>
    <row r="2" spans="1:10" s="61" customFormat="1" x14ac:dyDescent="0.3">
      <c r="B2" s="60"/>
    </row>
    <row r="3" spans="1:10" s="61" customFormat="1" ht="24" x14ac:dyDescent="0.4">
      <c r="A3" s="107" t="s">
        <v>46</v>
      </c>
      <c r="B3" s="107"/>
      <c r="C3" s="107"/>
      <c r="D3" s="107"/>
    </row>
    <row r="4" spans="1:10" s="61" customFormat="1" ht="24" x14ac:dyDescent="0.4">
      <c r="A4" s="66"/>
      <c r="B4" s="66"/>
      <c r="C4" s="66"/>
      <c r="D4" s="66"/>
    </row>
    <row r="5" spans="1:10" s="61" customFormat="1" ht="24" x14ac:dyDescent="0.4">
      <c r="A5" s="66"/>
      <c r="B5" s="66"/>
      <c r="C5" s="66"/>
      <c r="D5" s="66"/>
    </row>
    <row r="6" spans="1:10" s="61" customFormat="1" x14ac:dyDescent="0.3">
      <c r="A6" s="104" t="s">
        <v>44</v>
      </c>
      <c r="B6" s="105"/>
      <c r="C6" s="105"/>
      <c r="D6" s="105"/>
    </row>
    <row r="7" spans="1:10" s="61" customFormat="1" ht="18" customHeight="1" x14ac:dyDescent="0.3">
      <c r="A7" s="105"/>
      <c r="B7" s="105"/>
      <c r="C7" s="105"/>
      <c r="D7" s="105"/>
    </row>
    <row r="8" spans="1:10" s="61" customFormat="1" x14ac:dyDescent="0.3">
      <c r="A8" s="105"/>
      <c r="B8" s="105"/>
      <c r="C8" s="105"/>
      <c r="D8" s="105"/>
    </row>
    <row r="9" spans="1:10" s="61" customFormat="1" x14ac:dyDescent="0.3">
      <c r="A9" s="67"/>
      <c r="B9" s="67"/>
      <c r="C9" s="67"/>
      <c r="D9" s="67"/>
    </row>
    <row r="10" spans="1:10" s="61" customFormat="1" ht="37.5" x14ac:dyDescent="0.3">
      <c r="A10" s="68" t="s">
        <v>18</v>
      </c>
      <c r="B10" s="67"/>
      <c r="C10" s="67"/>
      <c r="D10" s="67"/>
    </row>
    <row r="11" spans="1:10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10" x14ac:dyDescent="0.3">
      <c r="A12" s="65" t="s">
        <v>2</v>
      </c>
      <c r="B12" s="71">
        <v>97.974000000000004</v>
      </c>
      <c r="C12" s="71">
        <v>103.00265999999999</v>
      </c>
      <c r="D12" s="71">
        <v>125.613</v>
      </c>
      <c r="H12" s="72"/>
      <c r="I12" s="72"/>
      <c r="J12" s="72"/>
    </row>
    <row r="13" spans="1:10" x14ac:dyDescent="0.3">
      <c r="A13" s="65" t="s">
        <v>3</v>
      </c>
      <c r="B13" s="71">
        <v>72.72</v>
      </c>
      <c r="C13" s="71">
        <v>76.449420000000003</v>
      </c>
      <c r="D13" s="71">
        <v>93.231000000000009</v>
      </c>
      <c r="H13" s="72"/>
      <c r="I13" s="72"/>
      <c r="J13" s="72"/>
    </row>
    <row r="14" spans="1:10" x14ac:dyDescent="0.3">
      <c r="A14" s="65" t="s">
        <v>4</v>
      </c>
      <c r="B14" s="71">
        <v>59.085000000000008</v>
      </c>
      <c r="C14" s="71">
        <v>62.117459999999994</v>
      </c>
      <c r="D14" s="71">
        <v>75.753</v>
      </c>
      <c r="H14" s="72"/>
      <c r="I14" s="72"/>
      <c r="J14" s="72"/>
    </row>
    <row r="15" spans="1:10" x14ac:dyDescent="0.3">
      <c r="A15" s="65" t="s">
        <v>5</v>
      </c>
      <c r="B15" s="71">
        <v>48.276000000000003</v>
      </c>
      <c r="C15" s="71">
        <v>50.759639999999997</v>
      </c>
      <c r="D15" s="71">
        <v>61.902000000000001</v>
      </c>
      <c r="H15" s="72"/>
      <c r="I15" s="72"/>
      <c r="J15" s="72"/>
    </row>
    <row r="16" spans="1:10" x14ac:dyDescent="0.3">
      <c r="A16" s="65" t="s">
        <v>6</v>
      </c>
      <c r="B16" s="71">
        <v>96.992999999999995</v>
      </c>
      <c r="C16" s="71">
        <v>101.96945999999998</v>
      </c>
      <c r="D16" s="71">
        <v>124.35299999999999</v>
      </c>
      <c r="H16" s="72"/>
      <c r="I16" s="72"/>
      <c r="J16" s="72"/>
    </row>
    <row r="17" spans="1:10" x14ac:dyDescent="0.3">
      <c r="A17" s="65" t="s">
        <v>7</v>
      </c>
      <c r="B17" s="71">
        <v>59.085000000000008</v>
      </c>
      <c r="C17" s="71">
        <v>62.117459999999994</v>
      </c>
      <c r="D17" s="71">
        <v>75.753</v>
      </c>
      <c r="H17" s="72"/>
      <c r="I17" s="72"/>
      <c r="J17" s="72"/>
    </row>
    <row r="18" spans="1:10" x14ac:dyDescent="0.3">
      <c r="A18" s="73" t="s">
        <v>47</v>
      </c>
    </row>
    <row r="19" spans="1:10" x14ac:dyDescent="0.3">
      <c r="A19" s="104" t="s">
        <v>45</v>
      </c>
      <c r="B19" s="105"/>
      <c r="C19" s="105"/>
      <c r="D19" s="105"/>
    </row>
    <row r="20" spans="1:10" x14ac:dyDescent="0.3">
      <c r="A20" s="105"/>
      <c r="B20" s="105"/>
      <c r="C20" s="105"/>
      <c r="D20" s="105"/>
    </row>
    <row r="21" spans="1:10" x14ac:dyDescent="0.3">
      <c r="A21" s="105"/>
      <c r="B21" s="105"/>
      <c r="C21" s="105"/>
      <c r="D21" s="105"/>
    </row>
  </sheetData>
  <mergeCells count="4">
    <mergeCell ref="A1:D1"/>
    <mergeCell ref="A3:D3"/>
    <mergeCell ref="A6:D8"/>
    <mergeCell ref="A19:D2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5770-803C-4ECC-894E-960A245D7E84}">
  <sheetPr>
    <pageSetUpPr fitToPage="1"/>
  </sheetPr>
  <dimension ref="A1:J21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10" s="61" customFormat="1" x14ac:dyDescent="0.3">
      <c r="A1" s="106" t="s">
        <v>40</v>
      </c>
      <c r="B1" s="106"/>
      <c r="C1" s="106"/>
      <c r="D1" s="106"/>
    </row>
    <row r="2" spans="1:10" s="61" customFormat="1" x14ac:dyDescent="0.3">
      <c r="B2" s="60"/>
    </row>
    <row r="3" spans="1:10" s="61" customFormat="1" ht="24" x14ac:dyDescent="0.4">
      <c r="A3" s="107" t="s">
        <v>48</v>
      </c>
      <c r="B3" s="107"/>
      <c r="C3" s="107"/>
      <c r="D3" s="107"/>
    </row>
    <row r="4" spans="1:10" s="61" customFormat="1" ht="24" x14ac:dyDescent="0.4">
      <c r="A4" s="66"/>
      <c r="B4" s="66"/>
      <c r="C4" s="66"/>
      <c r="D4" s="66"/>
    </row>
    <row r="5" spans="1:10" s="61" customFormat="1" ht="24" x14ac:dyDescent="0.4">
      <c r="A5" s="66"/>
      <c r="B5" s="66"/>
      <c r="C5" s="66"/>
      <c r="D5" s="66"/>
    </row>
    <row r="6" spans="1:10" s="61" customFormat="1" x14ac:dyDescent="0.3">
      <c r="A6" s="104" t="s">
        <v>44</v>
      </c>
      <c r="B6" s="105"/>
      <c r="C6" s="105"/>
      <c r="D6" s="105"/>
    </row>
    <row r="7" spans="1:10" s="61" customFormat="1" ht="18" customHeight="1" x14ac:dyDescent="0.3">
      <c r="A7" s="105"/>
      <c r="B7" s="105"/>
      <c r="C7" s="105"/>
      <c r="D7" s="105"/>
    </row>
    <row r="8" spans="1:10" s="61" customFormat="1" x14ac:dyDescent="0.3">
      <c r="A8" s="105"/>
      <c r="B8" s="105"/>
      <c r="C8" s="105"/>
      <c r="D8" s="105"/>
    </row>
    <row r="9" spans="1:10" s="61" customFormat="1" x14ac:dyDescent="0.3">
      <c r="A9" s="67"/>
      <c r="B9" s="67"/>
      <c r="C9" s="67"/>
      <c r="D9" s="67"/>
    </row>
    <row r="10" spans="1:10" s="61" customFormat="1" ht="37.5" x14ac:dyDescent="0.3">
      <c r="A10" s="68" t="s">
        <v>18</v>
      </c>
      <c r="B10" s="67"/>
      <c r="C10" s="67"/>
      <c r="D10" s="67"/>
    </row>
    <row r="11" spans="1:10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10" x14ac:dyDescent="0.3">
      <c r="A12" s="65" t="s">
        <v>2</v>
      </c>
      <c r="B12" s="71">
        <v>83.277000000000001</v>
      </c>
      <c r="C12" s="71">
        <v>87.548939999999988</v>
      </c>
      <c r="D12" s="71">
        <v>106.767</v>
      </c>
      <c r="H12" s="72"/>
      <c r="I12" s="72"/>
      <c r="J12" s="72"/>
    </row>
    <row r="13" spans="1:10" x14ac:dyDescent="0.3">
      <c r="A13" s="65" t="s">
        <v>3</v>
      </c>
      <c r="B13" s="71">
        <v>61.812000000000005</v>
      </c>
      <c r="C13" s="71">
        <v>64.980900000000005</v>
      </c>
      <c r="D13" s="71">
        <v>79.245000000000005</v>
      </c>
      <c r="H13" s="72"/>
      <c r="I13" s="72"/>
      <c r="J13" s="72"/>
    </row>
    <row r="14" spans="1:10" x14ac:dyDescent="0.3">
      <c r="A14" s="65" t="s">
        <v>4</v>
      </c>
      <c r="B14" s="71">
        <v>50.229000000000006</v>
      </c>
      <c r="C14" s="71">
        <v>52.803899999999992</v>
      </c>
      <c r="D14" s="71">
        <v>64.394999999999996</v>
      </c>
      <c r="H14" s="72"/>
      <c r="I14" s="72"/>
      <c r="J14" s="72"/>
    </row>
    <row r="15" spans="1:10" x14ac:dyDescent="0.3">
      <c r="A15" s="65" t="s">
        <v>5</v>
      </c>
      <c r="B15" s="71">
        <v>41.048999999999999</v>
      </c>
      <c r="C15" s="71">
        <v>43.150859999999994</v>
      </c>
      <c r="D15" s="71">
        <v>52.622999999999998</v>
      </c>
      <c r="H15" s="72"/>
      <c r="I15" s="72"/>
      <c r="J15" s="72"/>
    </row>
    <row r="16" spans="1:10" x14ac:dyDescent="0.3">
      <c r="A16" s="65" t="s">
        <v>6</v>
      </c>
      <c r="B16" s="71">
        <v>82.448999999999998</v>
      </c>
      <c r="C16" s="71">
        <v>86.678099999999986</v>
      </c>
      <c r="D16" s="71">
        <v>105.705</v>
      </c>
      <c r="H16" s="72"/>
      <c r="I16" s="72"/>
      <c r="J16" s="72"/>
    </row>
    <row r="17" spans="1:10" x14ac:dyDescent="0.3">
      <c r="A17" s="65" t="s">
        <v>7</v>
      </c>
      <c r="B17" s="71">
        <v>50.229000000000006</v>
      </c>
      <c r="C17" s="71">
        <v>52.803899999999992</v>
      </c>
      <c r="D17" s="71">
        <v>64.394999999999996</v>
      </c>
      <c r="H17" s="72"/>
      <c r="I17" s="72"/>
      <c r="J17" s="72"/>
    </row>
    <row r="19" spans="1:10" x14ac:dyDescent="0.3">
      <c r="A19" s="104" t="s">
        <v>45</v>
      </c>
      <c r="B19" s="105"/>
      <c r="C19" s="105"/>
      <c r="D19" s="105"/>
    </row>
    <row r="20" spans="1:10" x14ac:dyDescent="0.3">
      <c r="A20" s="105"/>
      <c r="B20" s="105"/>
      <c r="C20" s="105"/>
      <c r="D20" s="105"/>
    </row>
    <row r="21" spans="1:10" x14ac:dyDescent="0.3">
      <c r="A21" s="105"/>
      <c r="B21" s="105"/>
      <c r="C21" s="105"/>
      <c r="D21" s="105"/>
    </row>
  </sheetData>
  <mergeCells count="4">
    <mergeCell ref="A1:D1"/>
    <mergeCell ref="A3:D3"/>
    <mergeCell ref="A6:D8"/>
    <mergeCell ref="A19:D2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E85C-09F7-4055-90E3-A5861893270D}">
  <sheetPr>
    <pageSetUpPr fitToPage="1"/>
  </sheetPr>
  <dimension ref="A1:J21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10" s="61" customFormat="1" x14ac:dyDescent="0.3">
      <c r="A1" s="106" t="s">
        <v>40</v>
      </c>
      <c r="B1" s="106"/>
      <c r="C1" s="106"/>
      <c r="D1" s="106"/>
    </row>
    <row r="2" spans="1:10" s="61" customFormat="1" x14ac:dyDescent="0.3">
      <c r="B2" s="60"/>
    </row>
    <row r="3" spans="1:10" s="61" customFormat="1" ht="24" x14ac:dyDescent="0.4">
      <c r="A3" s="107" t="s">
        <v>49</v>
      </c>
      <c r="B3" s="107"/>
      <c r="C3" s="107"/>
      <c r="D3" s="107"/>
    </row>
    <row r="4" spans="1:10" s="61" customFormat="1" ht="24" x14ac:dyDescent="0.4">
      <c r="A4" s="66"/>
      <c r="B4" s="66"/>
      <c r="C4" s="66"/>
      <c r="D4" s="66"/>
    </row>
    <row r="5" spans="1:10" s="61" customFormat="1" ht="24" x14ac:dyDescent="0.4">
      <c r="A5" s="66"/>
      <c r="B5" s="66"/>
      <c r="C5" s="66"/>
      <c r="D5" s="66"/>
    </row>
    <row r="6" spans="1:10" s="61" customFormat="1" x14ac:dyDescent="0.3">
      <c r="A6" s="104" t="s">
        <v>44</v>
      </c>
      <c r="B6" s="105"/>
      <c r="C6" s="105"/>
      <c r="D6" s="105"/>
    </row>
    <row r="7" spans="1:10" s="61" customFormat="1" ht="18" customHeight="1" x14ac:dyDescent="0.3">
      <c r="A7" s="105"/>
      <c r="B7" s="105"/>
      <c r="C7" s="105"/>
      <c r="D7" s="105"/>
    </row>
    <row r="8" spans="1:10" s="61" customFormat="1" x14ac:dyDescent="0.3">
      <c r="A8" s="105"/>
      <c r="B8" s="105"/>
      <c r="C8" s="105"/>
      <c r="D8" s="105"/>
    </row>
    <row r="9" spans="1:10" s="61" customFormat="1" x14ac:dyDescent="0.3">
      <c r="A9" s="67"/>
      <c r="B9" s="67"/>
      <c r="C9" s="67"/>
      <c r="D9" s="67"/>
    </row>
    <row r="10" spans="1:10" s="61" customFormat="1" ht="37.5" x14ac:dyDescent="0.3">
      <c r="A10" s="68" t="s">
        <v>18</v>
      </c>
      <c r="B10" s="67"/>
      <c r="C10" s="67"/>
      <c r="D10" s="67"/>
    </row>
    <row r="11" spans="1:10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10" x14ac:dyDescent="0.3">
      <c r="A12" s="65" t="s">
        <v>2</v>
      </c>
      <c r="B12" s="71">
        <v>83.277000000000001</v>
      </c>
      <c r="C12" s="71">
        <v>87.548939999999988</v>
      </c>
      <c r="D12" s="71">
        <v>106.767</v>
      </c>
      <c r="H12" s="72"/>
      <c r="I12" s="72"/>
      <c r="J12" s="72"/>
    </row>
    <row r="13" spans="1:10" x14ac:dyDescent="0.3">
      <c r="A13" s="65" t="s">
        <v>3</v>
      </c>
      <c r="B13" s="71">
        <v>61.812000000000005</v>
      </c>
      <c r="C13" s="71">
        <v>64.980900000000005</v>
      </c>
      <c r="D13" s="71">
        <v>79.245000000000005</v>
      </c>
      <c r="H13" s="72"/>
      <c r="I13" s="72"/>
      <c r="J13" s="72"/>
    </row>
    <row r="14" spans="1:10" x14ac:dyDescent="0.3">
      <c r="A14" s="65" t="s">
        <v>4</v>
      </c>
      <c r="B14" s="71">
        <v>50.229000000000006</v>
      </c>
      <c r="C14" s="71">
        <v>52.803899999999992</v>
      </c>
      <c r="D14" s="71">
        <v>64.394999999999996</v>
      </c>
      <c r="H14" s="72"/>
      <c r="I14" s="72"/>
      <c r="J14" s="72"/>
    </row>
    <row r="15" spans="1:10" x14ac:dyDescent="0.3">
      <c r="A15" s="65" t="s">
        <v>5</v>
      </c>
      <c r="B15" s="71">
        <v>41.048999999999999</v>
      </c>
      <c r="C15" s="71">
        <v>43.150859999999994</v>
      </c>
      <c r="D15" s="71">
        <v>52.622999999999998</v>
      </c>
      <c r="H15" s="72"/>
      <c r="I15" s="72"/>
      <c r="J15" s="72"/>
    </row>
    <row r="16" spans="1:10" x14ac:dyDescent="0.3">
      <c r="A16" s="65" t="s">
        <v>6</v>
      </c>
      <c r="B16" s="71">
        <v>82.448999999999998</v>
      </c>
      <c r="C16" s="71">
        <v>86.678099999999986</v>
      </c>
      <c r="D16" s="71">
        <v>105.705</v>
      </c>
      <c r="H16" s="72"/>
      <c r="I16" s="72"/>
      <c r="J16" s="72"/>
    </row>
    <row r="17" spans="1:10" x14ac:dyDescent="0.3">
      <c r="A17" s="65" t="s">
        <v>7</v>
      </c>
      <c r="B17" s="71">
        <v>50.229000000000006</v>
      </c>
      <c r="C17" s="71">
        <v>52.803899999999992</v>
      </c>
      <c r="D17" s="71">
        <v>64.394999999999996</v>
      </c>
      <c r="H17" s="72"/>
      <c r="I17" s="72"/>
      <c r="J17" s="72"/>
    </row>
    <row r="18" spans="1:10" x14ac:dyDescent="0.3">
      <c r="A18" s="73" t="s">
        <v>47</v>
      </c>
    </row>
    <row r="19" spans="1:10" x14ac:dyDescent="0.3">
      <c r="A19" s="104" t="s">
        <v>45</v>
      </c>
      <c r="B19" s="105"/>
      <c r="C19" s="105"/>
      <c r="D19" s="105"/>
    </row>
    <row r="20" spans="1:10" x14ac:dyDescent="0.3">
      <c r="A20" s="105"/>
      <c r="B20" s="105"/>
      <c r="C20" s="105"/>
      <c r="D20" s="105"/>
    </row>
    <row r="21" spans="1:10" x14ac:dyDescent="0.3">
      <c r="A21" s="105"/>
      <c r="B21" s="105"/>
      <c r="C21" s="105"/>
      <c r="D21" s="105"/>
    </row>
  </sheetData>
  <mergeCells count="4">
    <mergeCell ref="A1:D1"/>
    <mergeCell ref="A3:D3"/>
    <mergeCell ref="A6:D8"/>
    <mergeCell ref="A19:D2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5589-73B5-4844-B879-A83851B58AF8}">
  <sheetPr>
    <pageSetUpPr fitToPage="1"/>
  </sheetPr>
  <dimension ref="A1:D22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4" s="61" customFormat="1" x14ac:dyDescent="0.3">
      <c r="A1" s="106" t="s">
        <v>40</v>
      </c>
      <c r="B1" s="106"/>
      <c r="C1" s="106"/>
      <c r="D1" s="106"/>
    </row>
    <row r="2" spans="1:4" s="61" customFormat="1" x14ac:dyDescent="0.3">
      <c r="B2" s="60"/>
    </row>
    <row r="3" spans="1:4" s="61" customFormat="1" ht="24" x14ac:dyDescent="0.4">
      <c r="A3" s="107" t="s">
        <v>13</v>
      </c>
      <c r="B3" s="107"/>
      <c r="C3" s="107"/>
      <c r="D3" s="107"/>
    </row>
    <row r="4" spans="1:4" s="61" customFormat="1" ht="24" x14ac:dyDescent="0.4">
      <c r="A4" s="66"/>
      <c r="B4" s="66"/>
      <c r="C4" s="66"/>
      <c r="D4" s="66"/>
    </row>
    <row r="5" spans="1:4" s="61" customFormat="1" ht="24" x14ac:dyDescent="0.4">
      <c r="A5" s="66"/>
      <c r="B5" s="66"/>
      <c r="C5" s="66"/>
      <c r="D5" s="66"/>
    </row>
    <row r="6" spans="1:4" s="61" customFormat="1" x14ac:dyDescent="0.3">
      <c r="A6" s="104" t="s">
        <v>44</v>
      </c>
      <c r="B6" s="105"/>
      <c r="C6" s="105"/>
      <c r="D6" s="105"/>
    </row>
    <row r="7" spans="1:4" s="61" customFormat="1" ht="18" customHeight="1" x14ac:dyDescent="0.3">
      <c r="A7" s="105"/>
      <c r="B7" s="105"/>
      <c r="C7" s="105"/>
      <c r="D7" s="105"/>
    </row>
    <row r="8" spans="1:4" s="61" customFormat="1" x14ac:dyDescent="0.3">
      <c r="A8" s="105"/>
      <c r="B8" s="105"/>
      <c r="C8" s="105"/>
      <c r="D8" s="105"/>
    </row>
    <row r="9" spans="1:4" s="61" customFormat="1" x14ac:dyDescent="0.3">
      <c r="A9" s="67"/>
      <c r="B9" s="67"/>
      <c r="C9" s="67"/>
      <c r="D9" s="67"/>
    </row>
    <row r="10" spans="1:4" s="61" customFormat="1" ht="37.5" x14ac:dyDescent="0.3">
      <c r="A10" s="68" t="s">
        <v>18</v>
      </c>
      <c r="B10" s="67"/>
      <c r="C10" s="67"/>
      <c r="D10" s="67"/>
    </row>
    <row r="11" spans="1:4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4" x14ac:dyDescent="0.3">
      <c r="A12" s="65" t="s">
        <v>2</v>
      </c>
      <c r="B12" s="71">
        <v>184.76942400000001</v>
      </c>
      <c r="C12" s="71">
        <v>194.893776</v>
      </c>
      <c r="D12" s="71">
        <v>253.1088</v>
      </c>
    </row>
    <row r="13" spans="1:4" x14ac:dyDescent="0.3">
      <c r="A13" s="65" t="s">
        <v>3</v>
      </c>
      <c r="B13" s="71">
        <v>160.92820800000001</v>
      </c>
      <c r="C13" s="71">
        <v>169.74619200000001</v>
      </c>
      <c r="D13" s="71">
        <v>220.4496</v>
      </c>
    </row>
    <row r="14" spans="1:4" x14ac:dyDescent="0.3">
      <c r="A14" s="65" t="s">
        <v>4</v>
      </c>
      <c r="B14" s="71">
        <v>137.08699200000001</v>
      </c>
      <c r="C14" s="71">
        <v>144.59860800000001</v>
      </c>
      <c r="D14" s="71">
        <v>187.79040000000003</v>
      </c>
    </row>
    <row r="15" spans="1:4" x14ac:dyDescent="0.3">
      <c r="A15" s="65" t="s">
        <v>5</v>
      </c>
      <c r="B15" s="71">
        <v>125.16638400000001</v>
      </c>
      <c r="C15" s="71">
        <v>132.02481599999999</v>
      </c>
      <c r="D15" s="71">
        <v>171.46080000000001</v>
      </c>
    </row>
    <row r="16" spans="1:4" x14ac:dyDescent="0.3">
      <c r="A16" s="65" t="s">
        <v>6</v>
      </c>
      <c r="B16" s="71">
        <v>184.76942400000001</v>
      </c>
      <c r="C16" s="71">
        <v>194.893776</v>
      </c>
      <c r="D16" s="71">
        <v>253.1088</v>
      </c>
    </row>
    <row r="17" spans="1:4" x14ac:dyDescent="0.3">
      <c r="A17" s="65" t="s">
        <v>7</v>
      </c>
      <c r="B17" s="71">
        <v>154.967904</v>
      </c>
      <c r="C17" s="71">
        <v>163.45929599999999</v>
      </c>
      <c r="D17" s="71">
        <v>212.28480000000002</v>
      </c>
    </row>
    <row r="18" spans="1:4" x14ac:dyDescent="0.3">
      <c r="A18" s="65" t="s">
        <v>14</v>
      </c>
      <c r="B18" s="71">
        <v>39.73536</v>
      </c>
      <c r="C18" s="71">
        <v>41.91264000000001</v>
      </c>
      <c r="D18" s="71">
        <v>54.432000000000002</v>
      </c>
    </row>
    <row r="19" spans="1:4" x14ac:dyDescent="0.3">
      <c r="B19" s="72"/>
      <c r="C19" s="72"/>
      <c r="D19" s="72"/>
    </row>
    <row r="20" spans="1:4" x14ac:dyDescent="0.3">
      <c r="A20" s="104" t="s">
        <v>45</v>
      </c>
      <c r="B20" s="105"/>
      <c r="C20" s="105"/>
      <c r="D20" s="105"/>
    </row>
    <row r="21" spans="1:4" x14ac:dyDescent="0.3">
      <c r="A21" s="105"/>
      <c r="B21" s="105"/>
      <c r="C21" s="105"/>
      <c r="D21" s="105"/>
    </row>
    <row r="22" spans="1:4" x14ac:dyDescent="0.3">
      <c r="A22" s="105"/>
      <c r="B22" s="105"/>
      <c r="C22" s="105"/>
      <c r="D22" s="105"/>
    </row>
  </sheetData>
  <mergeCells count="4">
    <mergeCell ref="A1:D1"/>
    <mergeCell ref="A3:D3"/>
    <mergeCell ref="A6:D8"/>
    <mergeCell ref="A20:D22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957C-5B50-4627-BDE4-1CD86F21FF3D}">
  <sheetPr>
    <pageSetUpPr fitToPage="1"/>
  </sheetPr>
  <dimension ref="A1:D22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4" s="61" customFormat="1" x14ac:dyDescent="0.3">
      <c r="A1" s="106" t="s">
        <v>40</v>
      </c>
      <c r="B1" s="106"/>
      <c r="C1" s="106"/>
      <c r="D1" s="106"/>
    </row>
    <row r="2" spans="1:4" s="61" customFormat="1" x14ac:dyDescent="0.3">
      <c r="B2" s="60"/>
    </row>
    <row r="3" spans="1:4" s="61" customFormat="1" ht="24" x14ac:dyDescent="0.4">
      <c r="A3" s="107" t="s">
        <v>13</v>
      </c>
      <c r="B3" s="107"/>
      <c r="C3" s="107"/>
      <c r="D3" s="107"/>
    </row>
    <row r="4" spans="1:4" s="61" customFormat="1" ht="24" x14ac:dyDescent="0.4">
      <c r="A4" s="66"/>
      <c r="B4" s="66"/>
      <c r="C4" s="66"/>
      <c r="D4" s="66"/>
    </row>
    <row r="5" spans="1:4" s="61" customFormat="1" ht="24" x14ac:dyDescent="0.4">
      <c r="A5" s="66"/>
      <c r="B5" s="66"/>
      <c r="C5" s="66"/>
      <c r="D5" s="66"/>
    </row>
    <row r="6" spans="1:4" s="61" customFormat="1" x14ac:dyDescent="0.3">
      <c r="A6" s="104" t="s">
        <v>44</v>
      </c>
      <c r="B6" s="105"/>
      <c r="C6" s="105"/>
      <c r="D6" s="105"/>
    </row>
    <row r="7" spans="1:4" s="61" customFormat="1" ht="18" customHeight="1" x14ac:dyDescent="0.3">
      <c r="A7" s="105"/>
      <c r="B7" s="105"/>
      <c r="C7" s="105"/>
      <c r="D7" s="105"/>
    </row>
    <row r="8" spans="1:4" s="61" customFormat="1" x14ac:dyDescent="0.3">
      <c r="A8" s="105"/>
      <c r="B8" s="105"/>
      <c r="C8" s="105"/>
      <c r="D8" s="105"/>
    </row>
    <row r="9" spans="1:4" s="61" customFormat="1" x14ac:dyDescent="0.3">
      <c r="A9" s="67"/>
      <c r="B9" s="67"/>
      <c r="C9" s="67"/>
      <c r="D9" s="67"/>
    </row>
    <row r="10" spans="1:4" s="61" customFormat="1" ht="37.5" x14ac:dyDescent="0.3">
      <c r="A10" s="68" t="s">
        <v>18</v>
      </c>
      <c r="B10" s="67"/>
      <c r="C10" s="67"/>
      <c r="D10" s="67"/>
    </row>
    <row r="11" spans="1:4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4" x14ac:dyDescent="0.3">
      <c r="A12" s="65" t="s">
        <v>2</v>
      </c>
      <c r="B12" s="71">
        <v>197.60063400000004</v>
      </c>
      <c r="C12" s="71">
        <v>208.42806600000003</v>
      </c>
      <c r="D12" s="71">
        <v>270.68580000000003</v>
      </c>
    </row>
    <row r="13" spans="1:4" x14ac:dyDescent="0.3">
      <c r="A13" s="65" t="s">
        <v>3</v>
      </c>
      <c r="B13" s="71">
        <v>172.10377800000001</v>
      </c>
      <c r="C13" s="71">
        <v>181.53412200000002</v>
      </c>
      <c r="D13" s="71">
        <v>235.7586</v>
      </c>
    </row>
    <row r="14" spans="1:4" x14ac:dyDescent="0.3">
      <c r="A14" s="65" t="s">
        <v>4</v>
      </c>
      <c r="B14" s="71">
        <v>146.60692200000003</v>
      </c>
      <c r="C14" s="71">
        <v>154.64017800000002</v>
      </c>
      <c r="D14" s="71">
        <v>200.83140000000003</v>
      </c>
    </row>
    <row r="15" spans="1:4" x14ac:dyDescent="0.3">
      <c r="A15" s="65" t="s">
        <v>5</v>
      </c>
      <c r="B15" s="71">
        <v>133.85849400000001</v>
      </c>
      <c r="C15" s="71">
        <v>141.193206</v>
      </c>
      <c r="D15" s="71">
        <v>183.36780000000002</v>
      </c>
    </row>
    <row r="16" spans="1:4" x14ac:dyDescent="0.3">
      <c r="A16" s="65" t="s">
        <v>6</v>
      </c>
      <c r="B16" s="71">
        <v>197.60063400000004</v>
      </c>
      <c r="C16" s="71">
        <v>208.42806600000003</v>
      </c>
      <c r="D16" s="71">
        <v>270.68580000000003</v>
      </c>
    </row>
    <row r="17" spans="1:4" x14ac:dyDescent="0.3">
      <c r="A17" s="65" t="s">
        <v>7</v>
      </c>
      <c r="B17" s="71">
        <v>165.72956400000001</v>
      </c>
      <c r="C17" s="71">
        <v>174.81063600000002</v>
      </c>
      <c r="D17" s="71">
        <v>227.02680000000004</v>
      </c>
    </row>
    <row r="18" spans="1:4" x14ac:dyDescent="0.3">
      <c r="A18" s="65" t="s">
        <v>14</v>
      </c>
      <c r="B18" s="71">
        <v>42.494759999999999</v>
      </c>
      <c r="C18" s="71">
        <v>44.823240000000013</v>
      </c>
      <c r="D18" s="71">
        <v>58.21200000000001</v>
      </c>
    </row>
    <row r="19" spans="1:4" x14ac:dyDescent="0.3">
      <c r="B19" s="72"/>
      <c r="C19" s="72"/>
      <c r="D19" s="72"/>
    </row>
    <row r="20" spans="1:4" x14ac:dyDescent="0.3">
      <c r="A20" s="104" t="s">
        <v>45</v>
      </c>
      <c r="B20" s="105"/>
      <c r="C20" s="105"/>
      <c r="D20" s="105"/>
    </row>
    <row r="21" spans="1:4" x14ac:dyDescent="0.3">
      <c r="A21" s="105"/>
      <c r="B21" s="105"/>
      <c r="C21" s="105"/>
      <c r="D21" s="105"/>
    </row>
    <row r="22" spans="1:4" x14ac:dyDescent="0.3">
      <c r="A22" s="105"/>
      <c r="B22" s="105"/>
      <c r="C22" s="105"/>
      <c r="D22" s="105"/>
    </row>
  </sheetData>
  <mergeCells count="4">
    <mergeCell ref="A1:D1"/>
    <mergeCell ref="A3:D3"/>
    <mergeCell ref="A6:D8"/>
    <mergeCell ref="A20:D22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A8FB-D84B-40B9-AF85-080686F41182}">
  <sheetPr>
    <pageSetUpPr fitToPage="1"/>
  </sheetPr>
  <dimension ref="A1:D21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4" s="61" customFormat="1" x14ac:dyDescent="0.3">
      <c r="A1" s="106" t="s">
        <v>40</v>
      </c>
      <c r="B1" s="106"/>
      <c r="C1" s="106"/>
      <c r="D1" s="106"/>
    </row>
    <row r="2" spans="1:4" s="61" customFormat="1" x14ac:dyDescent="0.3">
      <c r="B2" s="60"/>
    </row>
    <row r="3" spans="1:4" s="61" customFormat="1" ht="24" x14ac:dyDescent="0.4">
      <c r="A3" s="107" t="s">
        <v>8</v>
      </c>
      <c r="B3" s="107"/>
      <c r="C3" s="107"/>
      <c r="D3" s="107"/>
    </row>
    <row r="4" spans="1:4" s="61" customFormat="1" ht="24" x14ac:dyDescent="0.4">
      <c r="A4" s="66"/>
      <c r="B4" s="66"/>
      <c r="C4" s="66"/>
      <c r="D4" s="66"/>
    </row>
    <row r="5" spans="1:4" s="61" customFormat="1" ht="24" x14ac:dyDescent="0.4">
      <c r="A5" s="66"/>
      <c r="B5" s="66"/>
      <c r="C5" s="66"/>
      <c r="D5" s="66"/>
    </row>
    <row r="6" spans="1:4" s="61" customFormat="1" x14ac:dyDescent="0.3">
      <c r="A6" s="104" t="s">
        <v>44</v>
      </c>
      <c r="B6" s="105"/>
      <c r="C6" s="105"/>
      <c r="D6" s="105"/>
    </row>
    <row r="7" spans="1:4" s="61" customFormat="1" ht="18" customHeight="1" x14ac:dyDescent="0.3">
      <c r="A7" s="105"/>
      <c r="B7" s="105"/>
      <c r="C7" s="105"/>
      <c r="D7" s="105"/>
    </row>
    <row r="8" spans="1:4" s="61" customFormat="1" x14ac:dyDescent="0.3">
      <c r="A8" s="105"/>
      <c r="B8" s="105"/>
      <c r="C8" s="105"/>
      <c r="D8" s="105"/>
    </row>
    <row r="9" spans="1:4" s="61" customFormat="1" x14ac:dyDescent="0.3">
      <c r="A9" s="67"/>
      <c r="B9" s="67"/>
      <c r="C9" s="67"/>
      <c r="D9" s="67"/>
    </row>
    <row r="10" spans="1:4" s="61" customFormat="1" ht="37.5" x14ac:dyDescent="0.3">
      <c r="A10" s="68" t="s">
        <v>18</v>
      </c>
      <c r="B10" s="67"/>
      <c r="C10" s="67"/>
      <c r="D10" s="67"/>
    </row>
    <row r="11" spans="1:4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4" x14ac:dyDescent="0.3">
      <c r="A12" s="65" t="s">
        <v>2</v>
      </c>
      <c r="B12" s="71">
        <v>142.81312500000001</v>
      </c>
      <c r="C12" s="71">
        <v>150.13687500000003</v>
      </c>
      <c r="D12" s="71">
        <v>183.09375</v>
      </c>
    </row>
    <row r="13" spans="1:4" x14ac:dyDescent="0.3">
      <c r="A13" s="65" t="s">
        <v>3</v>
      </c>
      <c r="B13" s="71">
        <v>124.38562500000002</v>
      </c>
      <c r="C13" s="71">
        <v>130.76437500000003</v>
      </c>
      <c r="D13" s="71">
        <v>159.46875</v>
      </c>
    </row>
    <row r="14" spans="1:4" x14ac:dyDescent="0.3">
      <c r="A14" s="65" t="s">
        <v>4</v>
      </c>
      <c r="B14" s="71">
        <v>105.95812500000001</v>
      </c>
      <c r="C14" s="71">
        <v>111.39187500000001</v>
      </c>
      <c r="D14" s="71">
        <v>135.84375</v>
      </c>
    </row>
    <row r="15" spans="1:4" x14ac:dyDescent="0.3">
      <c r="A15" s="65" t="s">
        <v>5</v>
      </c>
      <c r="B15" s="71">
        <v>96.744375000000005</v>
      </c>
      <c r="C15" s="71">
        <v>101.70562500000001</v>
      </c>
      <c r="D15" s="71">
        <v>124.03125</v>
      </c>
    </row>
    <row r="16" spans="1:4" x14ac:dyDescent="0.3">
      <c r="A16" s="65" t="s">
        <v>6</v>
      </c>
      <c r="B16" s="71">
        <v>142.81312500000001</v>
      </c>
      <c r="C16" s="71">
        <v>150.13687500000003</v>
      </c>
      <c r="D16" s="71">
        <v>183.09375</v>
      </c>
    </row>
    <row r="17" spans="1:4" x14ac:dyDescent="0.3">
      <c r="A17" s="65" t="s">
        <v>7</v>
      </c>
      <c r="B17" s="71">
        <v>119.77875</v>
      </c>
      <c r="C17" s="71">
        <v>125.92125</v>
      </c>
      <c r="D17" s="71">
        <v>153.5625</v>
      </c>
    </row>
    <row r="18" spans="1:4" x14ac:dyDescent="0.3">
      <c r="B18" s="72"/>
      <c r="C18" s="72"/>
      <c r="D18" s="72"/>
    </row>
    <row r="19" spans="1:4" x14ac:dyDescent="0.3">
      <c r="A19" s="104" t="s">
        <v>45</v>
      </c>
      <c r="B19" s="105"/>
      <c r="C19" s="105"/>
      <c r="D19" s="105"/>
    </row>
    <row r="20" spans="1:4" x14ac:dyDescent="0.3">
      <c r="A20" s="105"/>
      <c r="B20" s="105"/>
      <c r="C20" s="105"/>
      <c r="D20" s="105"/>
    </row>
    <row r="21" spans="1:4" x14ac:dyDescent="0.3">
      <c r="A21" s="105"/>
      <c r="B21" s="105"/>
      <c r="C21" s="105"/>
      <c r="D21" s="105"/>
    </row>
  </sheetData>
  <mergeCells count="4">
    <mergeCell ref="A1:D1"/>
    <mergeCell ref="A3:D3"/>
    <mergeCell ref="A6:D8"/>
    <mergeCell ref="A19:D2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FC15-6500-4F4E-AE8B-5CA7B2AF6097}">
  <sheetPr>
    <pageSetUpPr fitToPage="1"/>
  </sheetPr>
  <dimension ref="A1:D21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4" s="61" customFormat="1" x14ac:dyDescent="0.3">
      <c r="A1" s="106" t="s">
        <v>40</v>
      </c>
      <c r="B1" s="106"/>
      <c r="C1" s="106"/>
      <c r="D1" s="106"/>
    </row>
    <row r="2" spans="1:4" s="61" customFormat="1" x14ac:dyDescent="0.3">
      <c r="B2" s="60"/>
    </row>
    <row r="3" spans="1:4" s="61" customFormat="1" ht="24" x14ac:dyDescent="0.4">
      <c r="A3" s="107" t="s">
        <v>8</v>
      </c>
      <c r="B3" s="107"/>
      <c r="C3" s="107"/>
      <c r="D3" s="107"/>
    </row>
    <row r="4" spans="1:4" s="61" customFormat="1" ht="24" x14ac:dyDescent="0.4">
      <c r="A4" s="66"/>
      <c r="B4" s="66"/>
      <c r="C4" s="66"/>
      <c r="D4" s="66"/>
    </row>
    <row r="5" spans="1:4" s="61" customFormat="1" ht="24" x14ac:dyDescent="0.4">
      <c r="A5" s="66"/>
      <c r="B5" s="66"/>
      <c r="C5" s="66"/>
      <c r="D5" s="66"/>
    </row>
    <row r="6" spans="1:4" s="61" customFormat="1" x14ac:dyDescent="0.3">
      <c r="A6" s="104" t="s">
        <v>44</v>
      </c>
      <c r="B6" s="105"/>
      <c r="C6" s="105"/>
      <c r="D6" s="105"/>
    </row>
    <row r="7" spans="1:4" s="61" customFormat="1" ht="18" customHeight="1" x14ac:dyDescent="0.3">
      <c r="A7" s="105"/>
      <c r="B7" s="105"/>
      <c r="C7" s="105"/>
      <c r="D7" s="105"/>
    </row>
    <row r="8" spans="1:4" s="61" customFormat="1" x14ac:dyDescent="0.3">
      <c r="A8" s="105"/>
      <c r="B8" s="105"/>
      <c r="C8" s="105"/>
      <c r="D8" s="105"/>
    </row>
    <row r="9" spans="1:4" s="61" customFormat="1" x14ac:dyDescent="0.3">
      <c r="A9" s="67"/>
      <c r="B9" s="67"/>
      <c r="C9" s="67"/>
      <c r="D9" s="67"/>
    </row>
    <row r="10" spans="1:4" s="61" customFormat="1" ht="37.5" x14ac:dyDescent="0.3">
      <c r="A10" s="68" t="s">
        <v>18</v>
      </c>
      <c r="B10" s="67"/>
      <c r="C10" s="67"/>
      <c r="D10" s="67"/>
    </row>
    <row r="11" spans="1:4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4" x14ac:dyDescent="0.3">
      <c r="A12" s="65" t="s">
        <v>2</v>
      </c>
      <c r="B12" s="71">
        <v>121.39115625000001</v>
      </c>
      <c r="C12" s="71">
        <v>127.61634375000003</v>
      </c>
      <c r="D12" s="71">
        <v>155.62968749999999</v>
      </c>
    </row>
    <row r="13" spans="1:4" x14ac:dyDescent="0.3">
      <c r="A13" s="65" t="s">
        <v>3</v>
      </c>
      <c r="B13" s="71">
        <v>105.72778125000001</v>
      </c>
      <c r="C13" s="71">
        <v>111.14971875000002</v>
      </c>
      <c r="D13" s="71">
        <v>135.54843750000001</v>
      </c>
    </row>
    <row r="14" spans="1:4" x14ac:dyDescent="0.3">
      <c r="A14" s="65" t="s">
        <v>4</v>
      </c>
      <c r="B14" s="71">
        <v>90.064406250000005</v>
      </c>
      <c r="C14" s="71">
        <v>94.683093750000012</v>
      </c>
      <c r="D14" s="71">
        <v>115.46718749999999</v>
      </c>
    </row>
    <row r="15" spans="1:4" x14ac:dyDescent="0.3">
      <c r="A15" s="65" t="s">
        <v>5</v>
      </c>
      <c r="B15" s="71">
        <v>82.232718750000004</v>
      </c>
      <c r="C15" s="71">
        <v>86.449781250000001</v>
      </c>
      <c r="D15" s="71">
        <v>105.4265625</v>
      </c>
    </row>
    <row r="16" spans="1:4" x14ac:dyDescent="0.3">
      <c r="A16" s="65" t="s">
        <v>6</v>
      </c>
      <c r="B16" s="71">
        <v>121.39115625000001</v>
      </c>
      <c r="C16" s="71">
        <v>127.61634375000003</v>
      </c>
      <c r="D16" s="71">
        <v>155.62968749999999</v>
      </c>
    </row>
    <row r="17" spans="1:4" x14ac:dyDescent="0.3">
      <c r="A17" s="65" t="s">
        <v>7</v>
      </c>
      <c r="B17" s="71">
        <v>101.8119375</v>
      </c>
      <c r="C17" s="71">
        <v>107.0330625</v>
      </c>
      <c r="D17" s="71">
        <v>130.52812499999999</v>
      </c>
    </row>
    <row r="18" spans="1:4" x14ac:dyDescent="0.3">
      <c r="B18" s="72"/>
      <c r="C18" s="72"/>
      <c r="D18" s="72"/>
    </row>
    <row r="19" spans="1:4" x14ac:dyDescent="0.3">
      <c r="A19" s="104" t="s">
        <v>45</v>
      </c>
      <c r="B19" s="105"/>
      <c r="C19" s="105"/>
      <c r="D19" s="105"/>
    </row>
    <row r="20" spans="1:4" x14ac:dyDescent="0.3">
      <c r="A20" s="105"/>
      <c r="B20" s="105"/>
      <c r="C20" s="105"/>
      <c r="D20" s="105"/>
    </row>
    <row r="21" spans="1:4" x14ac:dyDescent="0.3">
      <c r="A21" s="105"/>
      <c r="B21" s="105"/>
      <c r="C21" s="105"/>
      <c r="D21" s="105"/>
    </row>
  </sheetData>
  <mergeCells count="4">
    <mergeCell ref="A1:D1"/>
    <mergeCell ref="A3:D3"/>
    <mergeCell ref="A6:D8"/>
    <mergeCell ref="A19:D2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91AA-7C9F-49B1-8F63-1BD81D544ADF}">
  <sheetPr>
    <pageSetUpPr fitToPage="1"/>
  </sheetPr>
  <dimension ref="A1:D22"/>
  <sheetViews>
    <sheetView showGridLines="0" zoomScale="90" zoomScaleNormal="90" workbookViewId="0">
      <selection activeCell="A3" sqref="A3:D3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4" s="61" customFormat="1" x14ac:dyDescent="0.3">
      <c r="A1" s="106" t="s">
        <v>40</v>
      </c>
      <c r="B1" s="106"/>
      <c r="C1" s="106"/>
      <c r="D1" s="106"/>
    </row>
    <row r="2" spans="1:4" s="61" customFormat="1" x14ac:dyDescent="0.3">
      <c r="B2" s="60"/>
    </row>
    <row r="3" spans="1:4" s="61" customFormat="1" ht="24" x14ac:dyDescent="0.4">
      <c r="A3" s="107" t="s">
        <v>8</v>
      </c>
      <c r="B3" s="107"/>
      <c r="C3" s="107"/>
      <c r="D3" s="107"/>
    </row>
    <row r="4" spans="1:4" s="61" customFormat="1" ht="24" x14ac:dyDescent="0.4">
      <c r="A4" s="66"/>
      <c r="B4" s="66"/>
      <c r="C4" s="66"/>
      <c r="D4" s="66"/>
    </row>
    <row r="5" spans="1:4" s="61" customFormat="1" ht="24" x14ac:dyDescent="0.4">
      <c r="A5" s="66"/>
      <c r="B5" s="66"/>
      <c r="C5" s="66"/>
      <c r="D5" s="66"/>
    </row>
    <row r="6" spans="1:4" s="61" customFormat="1" x14ac:dyDescent="0.3">
      <c r="A6" s="104" t="s">
        <v>44</v>
      </c>
      <c r="B6" s="105"/>
      <c r="C6" s="105"/>
      <c r="D6" s="105"/>
    </row>
    <row r="7" spans="1:4" s="61" customFormat="1" ht="18" customHeight="1" x14ac:dyDescent="0.3">
      <c r="A7" s="105"/>
      <c r="B7" s="105"/>
      <c r="C7" s="105"/>
      <c r="D7" s="105"/>
    </row>
    <row r="8" spans="1:4" s="61" customFormat="1" x14ac:dyDescent="0.3">
      <c r="A8" s="105"/>
      <c r="B8" s="105"/>
      <c r="C8" s="105"/>
      <c r="D8" s="105"/>
    </row>
    <row r="9" spans="1:4" s="61" customFormat="1" x14ac:dyDescent="0.3">
      <c r="A9" s="67"/>
      <c r="B9" s="67"/>
      <c r="C9" s="67"/>
      <c r="D9" s="67"/>
    </row>
    <row r="10" spans="1:4" s="61" customFormat="1" ht="37.5" x14ac:dyDescent="0.3">
      <c r="A10" s="68" t="s">
        <v>18</v>
      </c>
      <c r="B10" s="67"/>
      <c r="C10" s="67"/>
      <c r="D10" s="67"/>
    </row>
    <row r="11" spans="1:4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4" x14ac:dyDescent="0.3">
      <c r="A12" s="65" t="s">
        <v>2</v>
      </c>
      <c r="B12" s="71">
        <v>128.53181250000003</v>
      </c>
      <c r="C12" s="71">
        <v>135.12318750000003</v>
      </c>
      <c r="D12" s="71">
        <v>164.78437500000001</v>
      </c>
    </row>
    <row r="13" spans="1:4" x14ac:dyDescent="0.3">
      <c r="A13" s="65" t="s">
        <v>3</v>
      </c>
      <c r="B13" s="71">
        <v>111.94706250000002</v>
      </c>
      <c r="C13" s="71">
        <v>117.68793750000003</v>
      </c>
      <c r="D13" s="71">
        <v>143.52187499999999</v>
      </c>
    </row>
    <row r="14" spans="1:4" x14ac:dyDescent="0.3">
      <c r="A14" s="65" t="s">
        <v>4</v>
      </c>
      <c r="B14" s="71">
        <v>95.362312500000016</v>
      </c>
      <c r="C14" s="71">
        <v>100.25268750000001</v>
      </c>
      <c r="D14" s="71">
        <v>122.25937500000001</v>
      </c>
    </row>
    <row r="15" spans="1:4" x14ac:dyDescent="0.3">
      <c r="A15" s="65" t="s">
        <v>5</v>
      </c>
      <c r="B15" s="71">
        <v>87.069937500000009</v>
      </c>
      <c r="C15" s="71">
        <v>91.535062500000009</v>
      </c>
      <c r="D15" s="71">
        <v>111.628125</v>
      </c>
    </row>
    <row r="16" spans="1:4" x14ac:dyDescent="0.3">
      <c r="A16" s="65" t="s">
        <v>6</v>
      </c>
      <c r="B16" s="71">
        <v>128.53181250000003</v>
      </c>
      <c r="C16" s="71">
        <v>135.12318750000003</v>
      </c>
      <c r="D16" s="71">
        <v>164.78437500000001</v>
      </c>
    </row>
    <row r="17" spans="1:4" x14ac:dyDescent="0.3">
      <c r="A17" s="65" t="s">
        <v>7</v>
      </c>
      <c r="B17" s="71">
        <v>107.800875</v>
      </c>
      <c r="C17" s="71">
        <v>113.329125</v>
      </c>
      <c r="D17" s="71">
        <v>138.20625000000001</v>
      </c>
    </row>
    <row r="18" spans="1:4" x14ac:dyDescent="0.3">
      <c r="A18" s="65" t="s">
        <v>14</v>
      </c>
      <c r="B18" s="71">
        <v>18.954000000000004</v>
      </c>
      <c r="C18" s="71">
        <v>19.925999999999998</v>
      </c>
      <c r="D18" s="71">
        <v>24.3</v>
      </c>
    </row>
    <row r="19" spans="1:4" x14ac:dyDescent="0.3">
      <c r="B19" s="72"/>
      <c r="C19" s="72"/>
      <c r="D19" s="72"/>
    </row>
    <row r="20" spans="1:4" x14ac:dyDescent="0.3">
      <c r="A20" s="104" t="s">
        <v>45</v>
      </c>
      <c r="B20" s="105"/>
      <c r="C20" s="105"/>
      <c r="D20" s="105"/>
    </row>
    <row r="21" spans="1:4" x14ac:dyDescent="0.3">
      <c r="A21" s="105"/>
      <c r="B21" s="105"/>
      <c r="C21" s="105"/>
      <c r="D21" s="105"/>
    </row>
    <row r="22" spans="1:4" x14ac:dyDescent="0.3">
      <c r="A22" s="105"/>
      <c r="B22" s="105"/>
      <c r="C22" s="105"/>
      <c r="D22" s="105"/>
    </row>
  </sheetData>
  <mergeCells count="4">
    <mergeCell ref="A1:D1"/>
    <mergeCell ref="A3:D3"/>
    <mergeCell ref="A6:D8"/>
    <mergeCell ref="A20:D22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420E-EB2F-431E-BBA5-1A843A71EF3F}">
  <sheetPr>
    <pageSetUpPr fitToPage="1"/>
  </sheetPr>
  <dimension ref="A1:D30"/>
  <sheetViews>
    <sheetView showGridLines="0" tabSelected="1" topLeftCell="A3" zoomScale="90" zoomScaleNormal="90" workbookViewId="0">
      <selection activeCell="D30" sqref="D30"/>
    </sheetView>
  </sheetViews>
  <sheetFormatPr baseColWidth="10" defaultColWidth="11.5703125" defaultRowHeight="18.75" x14ac:dyDescent="0.3"/>
  <cols>
    <col min="1" max="1" width="36.28515625" style="62" customWidth="1"/>
    <col min="2" max="2" width="27.7109375" style="63" customWidth="1"/>
    <col min="3" max="4" width="27.7109375" style="62" customWidth="1"/>
    <col min="5" max="10" width="11.28515625" style="62" customWidth="1"/>
    <col min="11" max="11" width="14.7109375" style="62" customWidth="1"/>
    <col min="12" max="16384" width="11.5703125" style="62"/>
  </cols>
  <sheetData>
    <row r="1" spans="1:4" s="61" customFormat="1" x14ac:dyDescent="0.3">
      <c r="A1" s="106" t="s">
        <v>40</v>
      </c>
      <c r="B1" s="106"/>
      <c r="C1" s="106"/>
      <c r="D1" s="106"/>
    </row>
    <row r="2" spans="1:4" s="61" customFormat="1" x14ac:dyDescent="0.3">
      <c r="B2" s="60"/>
    </row>
    <row r="3" spans="1:4" s="61" customFormat="1" ht="24" x14ac:dyDescent="0.4">
      <c r="A3" s="107" t="s">
        <v>50</v>
      </c>
      <c r="B3" s="107"/>
      <c r="C3" s="107"/>
      <c r="D3" s="107"/>
    </row>
    <row r="4" spans="1:4" s="61" customFormat="1" ht="24" x14ac:dyDescent="0.4">
      <c r="A4" s="66"/>
      <c r="B4" s="66"/>
      <c r="C4" s="66"/>
      <c r="D4" s="66"/>
    </row>
    <row r="5" spans="1:4" s="61" customFormat="1" ht="24" x14ac:dyDescent="0.4">
      <c r="A5" s="66"/>
      <c r="B5" s="66"/>
      <c r="C5" s="66"/>
      <c r="D5" s="66"/>
    </row>
    <row r="6" spans="1:4" s="61" customFormat="1" x14ac:dyDescent="0.3">
      <c r="A6" s="104" t="s">
        <v>44</v>
      </c>
      <c r="B6" s="105"/>
      <c r="C6" s="105"/>
      <c r="D6" s="105"/>
    </row>
    <row r="7" spans="1:4" s="61" customFormat="1" ht="18" customHeight="1" x14ac:dyDescent="0.3">
      <c r="A7" s="105"/>
      <c r="B7" s="105"/>
      <c r="C7" s="105"/>
      <c r="D7" s="105"/>
    </row>
    <row r="8" spans="1:4" s="61" customFormat="1" x14ac:dyDescent="0.3">
      <c r="A8" s="105"/>
      <c r="B8" s="105"/>
      <c r="C8" s="105"/>
      <c r="D8" s="105"/>
    </row>
    <row r="9" spans="1:4" s="61" customFormat="1" x14ac:dyDescent="0.3">
      <c r="A9" s="67"/>
      <c r="B9" s="67"/>
      <c r="C9" s="67"/>
      <c r="D9" s="67"/>
    </row>
    <row r="10" spans="1:4" s="61" customFormat="1" ht="37.5" x14ac:dyDescent="0.3">
      <c r="A10" s="68" t="s">
        <v>18</v>
      </c>
      <c r="B10" s="67"/>
      <c r="C10" s="67"/>
      <c r="D10" s="67"/>
    </row>
    <row r="11" spans="1:4" x14ac:dyDescent="0.3">
      <c r="A11" s="64" t="s">
        <v>1</v>
      </c>
      <c r="B11" s="69" t="s">
        <v>41</v>
      </c>
      <c r="C11" s="70" t="s">
        <v>42</v>
      </c>
      <c r="D11" s="70" t="s">
        <v>43</v>
      </c>
    </row>
    <row r="12" spans="1:4" x14ac:dyDescent="0.3">
      <c r="A12" s="65" t="s">
        <v>2</v>
      </c>
      <c r="B12" s="71">
        <v>85.687874999999991</v>
      </c>
      <c r="C12" s="71">
        <v>90.082125000000005</v>
      </c>
      <c r="D12" s="71">
        <v>109.85625</v>
      </c>
    </row>
    <row r="13" spans="1:4" x14ac:dyDescent="0.3">
      <c r="A13" s="65" t="s">
        <v>3</v>
      </c>
      <c r="B13" s="71">
        <v>74.631375000000006</v>
      </c>
      <c r="C13" s="71">
        <v>78.458624999999998</v>
      </c>
      <c r="D13" s="71">
        <v>95.681250000000006</v>
      </c>
    </row>
    <row r="14" spans="1:4" x14ac:dyDescent="0.3">
      <c r="A14" s="65" t="s">
        <v>4</v>
      </c>
      <c r="B14" s="71">
        <v>63.574875000000006</v>
      </c>
      <c r="C14" s="71">
        <v>66.835125000000005</v>
      </c>
      <c r="D14" s="71">
        <v>81.506250000000009</v>
      </c>
    </row>
    <row r="15" spans="1:4" x14ac:dyDescent="0.3">
      <c r="A15" s="65" t="s">
        <v>5</v>
      </c>
      <c r="B15" s="71">
        <v>58.046625000000006</v>
      </c>
      <c r="C15" s="71">
        <v>61.023374999999994</v>
      </c>
      <c r="D15" s="71">
        <v>74.418750000000003</v>
      </c>
    </row>
    <row r="16" spans="1:4" x14ac:dyDescent="0.3">
      <c r="A16" s="65" t="s">
        <v>6</v>
      </c>
      <c r="B16" s="71">
        <v>85.687874999999991</v>
      </c>
      <c r="C16" s="71">
        <v>90.082125000000005</v>
      </c>
      <c r="D16" s="71">
        <v>109.85625</v>
      </c>
    </row>
    <row r="17" spans="1:4" x14ac:dyDescent="0.3">
      <c r="A17" s="65" t="s">
        <v>7</v>
      </c>
      <c r="B17" s="71">
        <v>71.867249999999999</v>
      </c>
      <c r="C17" s="71">
        <v>75.552749999999989</v>
      </c>
      <c r="D17" s="71">
        <v>92.137500000000003</v>
      </c>
    </row>
    <row r="18" spans="1:4" x14ac:dyDescent="0.3">
      <c r="B18" s="72"/>
      <c r="C18" s="72"/>
      <c r="D18" s="72"/>
    </row>
    <row r="19" spans="1:4" x14ac:dyDescent="0.3">
      <c r="A19" s="104" t="s">
        <v>45</v>
      </c>
      <c r="B19" s="105"/>
      <c r="C19" s="105"/>
      <c r="D19" s="105"/>
    </row>
    <row r="20" spans="1:4" x14ac:dyDescent="0.3">
      <c r="A20" s="105"/>
      <c r="B20" s="105"/>
      <c r="C20" s="105"/>
      <c r="D20" s="105"/>
    </row>
    <row r="21" spans="1:4" x14ac:dyDescent="0.3">
      <c r="A21" s="105"/>
      <c r="B21" s="105"/>
      <c r="C21" s="105"/>
      <c r="D21" s="105"/>
    </row>
    <row r="25" spans="1:4" x14ac:dyDescent="0.3">
      <c r="B25">
        <v>35.68</v>
      </c>
      <c r="D25" s="62">
        <f>+B25*B12</f>
        <v>3057.3433799999998</v>
      </c>
    </row>
    <row r="26" spans="1:4" x14ac:dyDescent="0.3">
      <c r="B26">
        <v>34.39</v>
      </c>
      <c r="D26" s="62">
        <f t="shared" ref="D26:D27" si="0">+B26*B13</f>
        <v>2566.5729862500002</v>
      </c>
    </row>
    <row r="27" spans="1:4" x14ac:dyDescent="0.3">
      <c r="B27">
        <v>22</v>
      </c>
      <c r="D27" s="62">
        <f t="shared" si="0"/>
        <v>1398.6472500000002</v>
      </c>
    </row>
    <row r="28" spans="1:4" x14ac:dyDescent="0.3">
      <c r="D28" s="62">
        <f>SUM(D25:D27)</f>
        <v>7022.5636162499995</v>
      </c>
    </row>
    <row r="30" spans="1:4" x14ac:dyDescent="0.3">
      <c r="D30" s="62">
        <f>+D28*1.5</f>
        <v>10533.845424374998</v>
      </c>
    </row>
  </sheetData>
  <mergeCells count="4">
    <mergeCell ref="A1:D1"/>
    <mergeCell ref="A3:D3"/>
    <mergeCell ref="A6:D8"/>
    <mergeCell ref="A19:D2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</vt:lpstr>
      <vt:lpstr>Cap</vt:lpstr>
      <vt:lpstr>JM</vt:lpstr>
      <vt:lpstr>1°Of cb</vt:lpstr>
      <vt:lpstr>1°Of mq</vt:lpstr>
      <vt:lpstr>PP Arg</vt:lpstr>
      <vt:lpstr>PP Esp</vt:lpstr>
      <vt:lpstr>GM Arg</vt:lpstr>
      <vt:lpstr>GM Arg -15</vt:lpstr>
      <vt:lpstr>GM Esp</vt:lpstr>
      <vt:lpstr>Contr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Sienes</dc:creator>
  <cp:lastModifiedBy>Ulises Sasovsky</cp:lastModifiedBy>
  <cp:lastPrinted>2026-05-19T12:12:41Z</cp:lastPrinted>
  <dcterms:created xsi:type="dcterms:W3CDTF">2018-10-12T12:49:42Z</dcterms:created>
  <dcterms:modified xsi:type="dcterms:W3CDTF">2026-07-31T16:40:13Z</dcterms:modified>
</cp:coreProperties>
</file>