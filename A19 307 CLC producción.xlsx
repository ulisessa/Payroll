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0b6926b2e2f81b4/Documentos/Payroll/"/>
    </mc:Choice>
  </mc:AlternateContent>
  <xr:revisionPtr revIDLastSave="0" documentId="8_{ACFB2871-92CE-4119-90B9-66BB7DFAEEFB}" xr6:coauthVersionLast="47" xr6:coauthVersionMax="47" xr10:uidLastSave="{00000000-0000-0000-0000-000000000000}"/>
  <bookViews>
    <workbookView xWindow="-120" yWindow="-120" windowWidth="29040" windowHeight="15720" tabRatio="841" xr2:uid="{00000000-000D-0000-FFFF-FFFF00000000}"/>
  </bookViews>
  <sheets>
    <sheet name="producción ARG" sheetId="1" r:id="rId1"/>
    <sheet name="producción ESP" sheetId="8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8" l="1"/>
  <c r="M26" i="1"/>
  <c r="R26" i="1" s="1"/>
  <c r="U26" i="1" s="1"/>
  <c r="C2" i="8"/>
  <c r="C1" i="8"/>
  <c r="B8" i="8"/>
  <c r="B9" i="8"/>
  <c r="B10" i="8"/>
  <c r="B11" i="8"/>
  <c r="B12" i="8"/>
  <c r="B13" i="8"/>
  <c r="B14" i="8"/>
  <c r="B15" i="8"/>
  <c r="B16" i="8"/>
  <c r="B7" i="8"/>
  <c r="H21" i="1"/>
  <c r="M31" i="1"/>
  <c r="P31" i="1" s="1"/>
  <c r="S31" i="1" s="1"/>
  <c r="L31" i="1"/>
  <c r="K31" i="1"/>
  <c r="J31" i="1"/>
  <c r="I31" i="1"/>
  <c r="M30" i="1"/>
  <c r="R30" i="1" s="1"/>
  <c r="U30" i="1" s="1"/>
  <c r="L30" i="1"/>
  <c r="K30" i="1"/>
  <c r="J30" i="1"/>
  <c r="I30" i="1"/>
  <c r="L29" i="1"/>
  <c r="K29" i="1"/>
  <c r="J29" i="1"/>
  <c r="I29" i="1"/>
  <c r="H29" i="1"/>
  <c r="M29" i="1"/>
  <c r="N29" i="1" s="1"/>
  <c r="L28" i="1"/>
  <c r="K28" i="1"/>
  <c r="J28" i="1"/>
  <c r="I28" i="1"/>
  <c r="H28" i="1"/>
  <c r="M28" i="1" s="1"/>
  <c r="N28" i="1" s="1"/>
  <c r="M27" i="1"/>
  <c r="R27" i="1" s="1"/>
  <c r="U27" i="1" s="1"/>
  <c r="L27" i="1"/>
  <c r="K27" i="1"/>
  <c r="J27" i="1"/>
  <c r="I27" i="1"/>
  <c r="L26" i="1"/>
  <c r="K26" i="1"/>
  <c r="J26" i="1"/>
  <c r="I26" i="1"/>
  <c r="L25" i="1"/>
  <c r="K25" i="1"/>
  <c r="J25" i="1"/>
  <c r="I25" i="1"/>
  <c r="H25" i="1"/>
  <c r="M25" i="1" s="1"/>
  <c r="R25" i="1" s="1"/>
  <c r="U25" i="1" s="1"/>
  <c r="L24" i="1"/>
  <c r="K24" i="1"/>
  <c r="J24" i="1"/>
  <c r="I24" i="1"/>
  <c r="H24" i="1"/>
  <c r="M24" i="1" s="1"/>
  <c r="N24" i="1" s="1"/>
  <c r="L23" i="1"/>
  <c r="K23" i="1"/>
  <c r="J23" i="1"/>
  <c r="I23" i="1"/>
  <c r="H23" i="1"/>
  <c r="M23" i="1" s="1"/>
  <c r="N23" i="1" s="1"/>
  <c r="L22" i="1"/>
  <c r="K22" i="1"/>
  <c r="J22" i="1"/>
  <c r="I22" i="1"/>
  <c r="H22" i="1"/>
  <c r="M22" i="1"/>
  <c r="R22" i="1" s="1"/>
  <c r="U22" i="1" s="1"/>
  <c r="M21" i="1"/>
  <c r="R21" i="1" s="1"/>
  <c r="U21" i="1" s="1"/>
  <c r="L21" i="1"/>
  <c r="K21" i="1"/>
  <c r="J21" i="1"/>
  <c r="I21" i="1"/>
  <c r="L20" i="1"/>
  <c r="K20" i="1"/>
  <c r="J20" i="1"/>
  <c r="I20" i="1"/>
  <c r="H20" i="1"/>
  <c r="M20" i="1" s="1"/>
  <c r="N20" i="1" s="1"/>
  <c r="M19" i="1"/>
  <c r="G5" i="1"/>
  <c r="F15" i="1" s="1"/>
  <c r="H14" i="1"/>
  <c r="H15" i="1"/>
  <c r="H16" i="1"/>
  <c r="H13" i="1"/>
  <c r="B20" i="1"/>
  <c r="B21" i="1"/>
  <c r="B22" i="1"/>
  <c r="B23" i="1"/>
  <c r="B24" i="1"/>
  <c r="B26" i="1"/>
  <c r="B27" i="1"/>
  <c r="B29" i="1"/>
  <c r="B25" i="1"/>
  <c r="B28" i="1"/>
  <c r="C18" i="1"/>
  <c r="C33" i="1"/>
  <c r="F13" i="1" l="1"/>
  <c r="R38" i="1"/>
  <c r="R39" i="1" s="1"/>
  <c r="O24" i="1"/>
  <c r="O22" i="1"/>
  <c r="N22" i="1"/>
  <c r="N25" i="1"/>
  <c r="O31" i="1"/>
  <c r="P29" i="1"/>
  <c r="S29" i="1" s="1"/>
  <c r="O25" i="1"/>
  <c r="R31" i="1"/>
  <c r="U31" i="1" s="1"/>
  <c r="O27" i="1"/>
  <c r="R36" i="1"/>
  <c r="R42" i="1" s="1"/>
  <c r="O20" i="1"/>
  <c r="O21" i="1"/>
  <c r="N21" i="1"/>
  <c r="O23" i="1"/>
  <c r="N27" i="1"/>
  <c r="N30" i="1"/>
  <c r="O28" i="1"/>
  <c r="O29" i="1"/>
  <c r="O30" i="1"/>
  <c r="N31" i="1"/>
  <c r="F16" i="1"/>
  <c r="K16" i="1" s="1"/>
  <c r="M16" i="1" s="1"/>
  <c r="F18" i="8"/>
  <c r="F17" i="8"/>
  <c r="F12" i="8"/>
  <c r="F15" i="8"/>
  <c r="F11" i="8"/>
  <c r="F16" i="8"/>
  <c r="F10" i="8"/>
  <c r="E14" i="8"/>
  <c r="F14" i="8"/>
  <c r="F9" i="8"/>
  <c r="F7" i="8"/>
  <c r="F13" i="8"/>
  <c r="F8" i="8"/>
  <c r="E7" i="8"/>
  <c r="E12" i="8"/>
  <c r="E16" i="8"/>
  <c r="E11" i="8"/>
  <c r="E10" i="8"/>
  <c r="E13" i="8"/>
  <c r="E9" i="8"/>
  <c r="E15" i="8"/>
  <c r="E8" i="8"/>
  <c r="N26" i="1"/>
  <c r="O26" i="1"/>
  <c r="Q23" i="1"/>
  <c r="T23" i="1" s="1"/>
  <c r="P23" i="1"/>
  <c r="S23" i="1" s="1"/>
  <c r="R24" i="1"/>
  <c r="U24" i="1" s="1"/>
  <c r="Q24" i="1"/>
  <c r="T24" i="1" s="1"/>
  <c r="P24" i="1"/>
  <c r="S24" i="1" s="1"/>
  <c r="P28" i="1"/>
  <c r="S28" i="1" s="1"/>
  <c r="Q28" i="1"/>
  <c r="T28" i="1" s="1"/>
  <c r="R29" i="1"/>
  <c r="U29" i="1" s="1"/>
  <c r="Q31" i="1"/>
  <c r="T31" i="1" s="1"/>
  <c r="R28" i="1"/>
  <c r="U28" i="1" s="1"/>
  <c r="K15" i="1"/>
  <c r="M15" i="1" s="1"/>
  <c r="Q29" i="1"/>
  <c r="T29" i="1" s="1"/>
  <c r="P27" i="1"/>
  <c r="S27" i="1" s="1"/>
  <c r="Q27" i="1"/>
  <c r="T27" i="1" s="1"/>
  <c r="J33" i="1"/>
  <c r="J36" i="1" s="1"/>
  <c r="R20" i="1"/>
  <c r="U20" i="1" s="1"/>
  <c r="P20" i="1"/>
  <c r="S20" i="1" s="1"/>
  <c r="B19" i="8"/>
  <c r="E17" i="8" s="1"/>
  <c r="Q20" i="1"/>
  <c r="T20" i="1" s="1"/>
  <c r="P26" i="1"/>
  <c r="S26" i="1" s="1"/>
  <c r="Q22" i="1"/>
  <c r="T22" i="1" s="1"/>
  <c r="B33" i="1"/>
  <c r="P22" i="1"/>
  <c r="S22" i="1" s="1"/>
  <c r="P21" i="1"/>
  <c r="S21" i="1" s="1"/>
  <c r="Q21" i="1"/>
  <c r="T21" i="1" s="1"/>
  <c r="L33" i="1"/>
  <c r="K33" i="1"/>
  <c r="I33" i="1"/>
  <c r="I36" i="1" s="1"/>
  <c r="Q30" i="1"/>
  <c r="T30" i="1" s="1"/>
  <c r="Q26" i="1"/>
  <c r="T26" i="1" s="1"/>
  <c r="R23" i="1"/>
  <c r="U23" i="1" s="1"/>
  <c r="P25" i="1"/>
  <c r="S25" i="1" s="1"/>
  <c r="M33" i="1"/>
  <c r="Q25" i="1"/>
  <c r="T25" i="1" s="1"/>
  <c r="E18" i="8"/>
  <c r="P30" i="1"/>
  <c r="S30" i="1" s="1"/>
  <c r="K13" i="1"/>
  <c r="M13" i="1" s="1"/>
  <c r="F14" i="1"/>
  <c r="K14" i="1" s="1"/>
  <c r="M14" i="1" s="1"/>
  <c r="P36" i="1" l="1"/>
  <c r="P42" i="1" s="1"/>
  <c r="Q36" i="1"/>
  <c r="Q42" i="1" s="1"/>
  <c r="F19" i="8"/>
  <c r="R33" i="1"/>
  <c r="O33" i="1"/>
  <c r="O36" i="1" s="1"/>
  <c r="K34" i="1"/>
  <c r="K36" i="1" s="1"/>
  <c r="N33" i="1"/>
  <c r="N36" i="1" s="1"/>
  <c r="L34" i="1"/>
  <c r="Q33" i="1"/>
  <c r="P33" i="1"/>
  <c r="E19" i="8"/>
  <c r="E22" i="8" s="1"/>
  <c r="F22" i="8" l="1"/>
  <c r="R37" i="1"/>
  <c r="R41" i="1" s="1"/>
  <c r="J34" i="1"/>
  <c r="I34" i="1"/>
  <c r="Q37" i="1"/>
  <c r="Q41" i="1" s="1"/>
  <c r="F24" i="8" l="1"/>
  <c r="F26" i="8" s="1"/>
</calcChain>
</file>

<file path=xl/sharedStrings.xml><?xml version="1.0" encoding="utf-8"?>
<sst xmlns="http://schemas.openxmlformats.org/spreadsheetml/2006/main" count="100" uniqueCount="73">
  <si>
    <t>BUQUE</t>
  </si>
  <si>
    <t>Capitán</t>
  </si>
  <si>
    <t>Jefe de Máquinas</t>
  </si>
  <si>
    <t>LEGAJO</t>
  </si>
  <si>
    <t>Kgs.Brutos</t>
  </si>
  <si>
    <t>Kgs.Netos</t>
  </si>
  <si>
    <t xml:space="preserve"> </t>
  </si>
  <si>
    <t>Clasif.</t>
  </si>
  <si>
    <t>L 1</t>
  </si>
  <si>
    <t>L 2</t>
  </si>
  <si>
    <t>L 3</t>
  </si>
  <si>
    <t>L 4</t>
  </si>
  <si>
    <t>L 5</t>
  </si>
  <si>
    <t>L 6</t>
  </si>
  <si>
    <t>C 1</t>
  </si>
  <si>
    <t>C 2</t>
  </si>
  <si>
    <t>C 3</t>
  </si>
  <si>
    <t>C R</t>
  </si>
  <si>
    <t>TOTAL</t>
  </si>
  <si>
    <t>ASEG./ MES</t>
  </si>
  <si>
    <t>DIAS</t>
  </si>
  <si>
    <t>NETO</t>
  </si>
  <si>
    <t>BRUTO</t>
  </si>
  <si>
    <t>% RET</t>
  </si>
  <si>
    <t>SOMU</t>
  </si>
  <si>
    <t>PUESTO</t>
  </si>
  <si>
    <t>DIF</t>
  </si>
  <si>
    <t>1ºO.M.</t>
  </si>
  <si>
    <t>J.Maq.</t>
  </si>
  <si>
    <t>1º O.C.</t>
  </si>
  <si>
    <t>MAREA</t>
  </si>
  <si>
    <t>USD</t>
  </si>
  <si>
    <t>$</t>
  </si>
  <si>
    <t>Tº CAMBIO</t>
  </si>
  <si>
    <t>COEF CAPECA</t>
  </si>
  <si>
    <t>COEF OFICIALES</t>
  </si>
  <si>
    <t>COEF MARINERIA</t>
  </si>
  <si>
    <t>Producción hasta</t>
  </si>
  <si>
    <t>LLEGADA</t>
  </si>
  <si>
    <t>LIQUIDACION FINAL DE MAREA</t>
  </si>
  <si>
    <t>SALIDA</t>
  </si>
  <si>
    <t>PGDO.</t>
  </si>
  <si>
    <t>Valores ARBUMASA OF</t>
  </si>
  <si>
    <t>Valores</t>
  </si>
  <si>
    <t>Total ARBUMASA OF</t>
  </si>
  <si>
    <t>MERL. EV</t>
  </si>
  <si>
    <t>MERL.EN</t>
  </si>
  <si>
    <t>CyC</t>
  </si>
  <si>
    <t>Cbta</t>
  </si>
  <si>
    <t>Planta</t>
  </si>
  <si>
    <t>1º Ofic</t>
  </si>
  <si>
    <t>CONTRAMAESTRE</t>
  </si>
  <si>
    <t>TRAB ESP</t>
  </si>
  <si>
    <t>BODEGA COMPLETA</t>
  </si>
  <si>
    <t>Producción</t>
  </si>
  <si>
    <t>TC OFICIALES</t>
  </si>
  <si>
    <t>TC SOMU</t>
  </si>
  <si>
    <t>COEFICIENTE</t>
  </si>
  <si>
    <t>ADICIONAL</t>
  </si>
  <si>
    <t>Total</t>
  </si>
  <si>
    <t>GRAT PROD COLAS</t>
  </si>
  <si>
    <t>A CTA MAREA/ TS MECS</t>
  </si>
  <si>
    <t>Primer Oficial de Cubierta</t>
  </si>
  <si>
    <t>Garantía de Máquinas</t>
  </si>
  <si>
    <t>G MAQUINAS</t>
  </si>
  <si>
    <t>A19</t>
  </si>
  <si>
    <t>MARTINEZ ROBERTO</t>
  </si>
  <si>
    <t>RIOS EDUARDO</t>
  </si>
  <si>
    <t>SALINAS ALEJANDRO FABIO</t>
  </si>
  <si>
    <t>PICCIONE HUGO LUCIANO</t>
  </si>
  <si>
    <t>4096-3795</t>
  </si>
  <si>
    <t>3795 CONT CBTA</t>
  </si>
  <si>
    <t>3795 CONTRAMAESTRE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</si>
</sst>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10" x14ac:knownFonts="1">
    <font>
      <sz val="8"/>
      <name val="Arial"/>
    </font>
    <font>
      <sz val="8"/>
      <name val="Arial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0" tint="-0.499984740745262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b/>
      <sz val="8"/>
      <color indexed="10"/>
      <name val="Calibri"/>
      <family val="2"/>
      <scheme val="minor"/>
    </font>
    <font>
      <b/>
      <sz val="8"/>
      <color rgb="FFC00000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05">
    <xf numFmtId="0" fontId="0" fillId="0" borderId="0" xfId="0"/>
    <xf numFmtId="0" fontId="2" fillId="0" borderId="0" xfId="0" applyFont="1"/>
    <xf numFmtId="4" fontId="3" fillId="0" borderId="0" xfId="0" applyNumberFormat="1" applyFont="1"/>
    <xf numFmtId="4" fontId="2" fillId="0" borderId="0" xfId="0" applyNumberFormat="1" applyFont="1"/>
    <xf numFmtId="4" fontId="3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4" fontId="4" fillId="0" borderId="0" xfId="0" applyNumberFormat="1" applyFont="1"/>
    <xf numFmtId="4" fontId="4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center"/>
    </xf>
    <xf numFmtId="0" fontId="3" fillId="0" borderId="0" xfId="0" applyFont="1"/>
    <xf numFmtId="14" fontId="2" fillId="0" borderId="0" xfId="0" applyNumberFormat="1" applyFont="1"/>
    <xf numFmtId="0" fontId="2" fillId="3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4" fontId="3" fillId="0" borderId="0" xfId="0" applyNumberFormat="1" applyFont="1" applyAlignment="1">
      <alignment horizontal="right"/>
    </xf>
    <xf numFmtId="1" fontId="2" fillId="3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" fontId="2" fillId="0" borderId="0" xfId="0" applyNumberFormat="1" applyFont="1"/>
    <xf numFmtId="14" fontId="3" fillId="0" borderId="0" xfId="0" applyNumberFormat="1" applyFont="1"/>
    <xf numFmtId="1" fontId="2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2" fontId="2" fillId="0" borderId="0" xfId="0" applyNumberFormat="1" applyFont="1" applyAlignment="1">
      <alignment horizontal="center"/>
    </xf>
    <xf numFmtId="16" fontId="2" fillId="0" borderId="0" xfId="0" applyNumberFormat="1" applyFont="1"/>
    <xf numFmtId="0" fontId="3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3" fontId="2" fillId="0" borderId="0" xfId="0" applyNumberFormat="1" applyFont="1" applyAlignment="1">
      <alignment horizontal="center"/>
    </xf>
    <xf numFmtId="4" fontId="2" fillId="3" borderId="1" xfId="0" applyNumberFormat="1" applyFont="1" applyFill="1" applyBorder="1" applyAlignment="1">
      <alignment horizontal="center"/>
    </xf>
    <xf numFmtId="2" fontId="2" fillId="0" borderId="0" xfId="0" applyNumberFormat="1" applyFont="1"/>
    <xf numFmtId="3" fontId="2" fillId="0" borderId="0" xfId="0" applyNumberFormat="1" applyFont="1"/>
    <xf numFmtId="0" fontId="3" fillId="0" borderId="2" xfId="0" applyFont="1" applyBorder="1"/>
    <xf numFmtId="0" fontId="3" fillId="0" borderId="3" xfId="0" applyFont="1" applyBorder="1"/>
    <xf numFmtId="14" fontId="3" fillId="0" borderId="6" xfId="0" applyNumberFormat="1" applyFont="1" applyBorder="1"/>
    <xf numFmtId="2" fontId="3" fillId="0" borderId="14" xfId="0" applyNumberFormat="1" applyFont="1" applyBorder="1" applyAlignment="1">
      <alignment horizontal="center"/>
    </xf>
    <xf numFmtId="4" fontId="3" fillId="0" borderId="2" xfId="0" applyNumberFormat="1" applyFont="1" applyBorder="1" applyAlignment="1">
      <alignment horizontal="center"/>
    </xf>
    <xf numFmtId="10" fontId="3" fillId="0" borderId="7" xfId="0" applyNumberFormat="1" applyFont="1" applyBorder="1" applyAlignment="1">
      <alignment horizontal="center"/>
    </xf>
    <xf numFmtId="10" fontId="3" fillId="0" borderId="8" xfId="0" applyNumberFormat="1" applyFont="1" applyBorder="1" applyAlignment="1">
      <alignment horizontal="center"/>
    </xf>
    <xf numFmtId="10" fontId="3" fillId="0" borderId="9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2" fontId="3" fillId="0" borderId="35" xfId="0" applyNumberFormat="1" applyFont="1" applyBorder="1" applyAlignment="1">
      <alignment horizontal="center"/>
    </xf>
    <xf numFmtId="4" fontId="2" fillId="0" borderId="36" xfId="0" applyNumberFormat="1" applyFont="1" applyBorder="1" applyAlignment="1">
      <alignment horizontal="center"/>
    </xf>
    <xf numFmtId="4" fontId="3" fillId="0" borderId="16" xfId="0" applyNumberFormat="1" applyFont="1" applyBorder="1" applyAlignment="1">
      <alignment horizontal="center"/>
    </xf>
    <xf numFmtId="4" fontId="2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4" fontId="2" fillId="0" borderId="5" xfId="0" applyNumberFormat="1" applyFont="1" applyBorder="1" applyAlignment="1">
      <alignment horizontal="center"/>
    </xf>
    <xf numFmtId="4" fontId="2" fillId="0" borderId="15" xfId="0" applyNumberFormat="1" applyFont="1" applyBorder="1" applyAlignment="1">
      <alignment horizontal="center"/>
    </xf>
    <xf numFmtId="4" fontId="2" fillId="0" borderId="16" xfId="0" applyNumberFormat="1" applyFont="1" applyBorder="1" applyAlignment="1">
      <alignment horizontal="center"/>
    </xf>
    <xf numFmtId="4" fontId="2" fillId="0" borderId="17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4" fontId="3" fillId="0" borderId="11" xfId="0" applyNumberFormat="1" applyFont="1" applyBorder="1" applyAlignment="1">
      <alignment horizontal="center"/>
    </xf>
    <xf numFmtId="4" fontId="3" fillId="0" borderId="13" xfId="0" applyNumberFormat="1" applyFont="1" applyBorder="1" applyAlignment="1">
      <alignment horizontal="center"/>
    </xf>
    <xf numFmtId="4" fontId="3" fillId="0" borderId="12" xfId="0" applyNumberFormat="1" applyFont="1" applyBorder="1" applyAlignment="1">
      <alignment horizontal="center"/>
    </xf>
    <xf numFmtId="4" fontId="3" fillId="0" borderId="37" xfId="0" applyNumberFormat="1" applyFont="1" applyBorder="1" applyAlignment="1">
      <alignment horizontal="center"/>
    </xf>
    <xf numFmtId="4" fontId="3" fillId="0" borderId="38" xfId="0" applyNumberFormat="1" applyFont="1" applyBorder="1" applyAlignment="1">
      <alignment horizontal="center"/>
    </xf>
    <xf numFmtId="4" fontId="3" fillId="0" borderId="18" xfId="0" applyNumberFormat="1" applyFont="1" applyBorder="1" applyAlignment="1">
      <alignment horizontal="center"/>
    </xf>
    <xf numFmtId="4" fontId="3" fillId="0" borderId="0" xfId="0" applyNumberFormat="1" applyFont="1" applyAlignment="1">
      <alignment horizontal="left"/>
    </xf>
    <xf numFmtId="4" fontId="3" fillId="0" borderId="0" xfId="0" applyNumberFormat="1" applyFont="1" applyAlignment="1">
      <alignment horizontal="right"/>
    </xf>
    <xf numFmtId="10" fontId="6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center"/>
    </xf>
    <xf numFmtId="4" fontId="7" fillId="0" borderId="0" xfId="0" applyNumberFormat="1" applyFont="1" applyAlignment="1">
      <alignment horizontal="center"/>
    </xf>
    <xf numFmtId="4" fontId="7" fillId="2" borderId="0" xfId="0" applyNumberFormat="1" applyFont="1" applyFill="1" applyAlignment="1">
      <alignment horizontal="left"/>
    </xf>
    <xf numFmtId="4" fontId="3" fillId="4" borderId="0" xfId="0" applyNumberFormat="1" applyFont="1" applyFill="1" applyAlignment="1">
      <alignment horizontal="center"/>
    </xf>
    <xf numFmtId="4" fontId="3" fillId="4" borderId="0" xfId="0" applyNumberFormat="1" applyFont="1" applyFill="1" applyAlignment="1">
      <alignment horizontal="left"/>
    </xf>
    <xf numFmtId="2" fontId="3" fillId="4" borderId="0" xfId="0" applyNumberFormat="1" applyFont="1" applyFill="1" applyAlignment="1">
      <alignment horizontal="left"/>
    </xf>
    <xf numFmtId="2" fontId="3" fillId="0" borderId="0" xfId="0" applyNumberFormat="1" applyFont="1" applyAlignment="1">
      <alignment horizontal="left"/>
    </xf>
    <xf numFmtId="164" fontId="2" fillId="0" borderId="0" xfId="0" applyNumberFormat="1" applyFont="1"/>
    <xf numFmtId="2" fontId="3" fillId="0" borderId="0" xfId="0" applyNumberFormat="1" applyFont="1" applyAlignment="1">
      <alignment horizontal="center"/>
    </xf>
    <xf numFmtId="4" fontId="3" fillId="2" borderId="0" xfId="0" applyNumberFormat="1" applyFont="1" applyFill="1" applyAlignment="1">
      <alignment horizontal="center"/>
    </xf>
    <xf numFmtId="10" fontId="2" fillId="0" borderId="0" xfId="0" applyNumberFormat="1" applyFont="1"/>
    <xf numFmtId="4" fontId="8" fillId="0" borderId="0" xfId="0" applyNumberFormat="1" applyFont="1" applyAlignment="1">
      <alignment horizontal="center"/>
    </xf>
    <xf numFmtId="0" fontId="8" fillId="0" borderId="0" xfId="0" applyFont="1"/>
    <xf numFmtId="4" fontId="7" fillId="0" borderId="0" xfId="0" applyNumberFormat="1" applyFont="1"/>
    <xf numFmtId="9" fontId="2" fillId="0" borderId="0" xfId="0" applyNumberFormat="1" applyFont="1"/>
    <xf numFmtId="2" fontId="3" fillId="0" borderId="2" xfId="0" applyNumberFormat="1" applyFont="1" applyBorder="1" applyAlignment="1">
      <alignment horizontal="center"/>
    </xf>
    <xf numFmtId="4" fontId="3" fillId="0" borderId="14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9" fontId="7" fillId="0" borderId="10" xfId="0" applyNumberFormat="1" applyFont="1" applyBorder="1" applyAlignment="1">
      <alignment horizontal="center"/>
    </xf>
    <xf numFmtId="10" fontId="7" fillId="0" borderId="27" xfId="0" applyNumberFormat="1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4" fontId="2" fillId="0" borderId="26" xfId="0" applyNumberFormat="1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9" fontId="3" fillId="0" borderId="30" xfId="0" applyNumberFormat="1" applyFont="1" applyBorder="1" applyAlignment="1">
      <alignment horizontal="center"/>
    </xf>
    <xf numFmtId="4" fontId="2" fillId="0" borderId="31" xfId="0" applyNumberFormat="1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9" fontId="7" fillId="0" borderId="34" xfId="0" applyNumberFormat="1" applyFont="1" applyBorder="1" applyAlignment="1">
      <alignment horizontal="center"/>
    </xf>
    <xf numFmtId="4" fontId="3" fillId="0" borderId="23" xfId="0" applyNumberFormat="1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9" fillId="0" borderId="0" xfId="0" applyFont="1"/>
    <xf numFmtId="4" fontId="9" fillId="0" borderId="0" xfId="0" applyNumberFormat="1" applyFont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2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22" xfId="0" applyFont="1" applyBorder="1" applyAlignment="1">
      <alignment horizontal="center"/>
    </xf>
  </cellXfs>
  <cellStyles count="2">
    <cellStyle name="Normal" xfId="0" builtinId="0"/>
    <cellStyle name="Normal 2" xfId="1" xr:uid="{42CAF784-0EE8-4F9F-8EA4-FB3E595A07F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Personal\adriana.sienes\Adriana\Liquidaciones%20Mareas\A19\A19%20307%20CLC%20producci&#243;n%20SUAREZ%20-%20MARTINEZ.xlsx" TargetMode="External"/><Relationship Id="rId1" Type="http://schemas.openxmlformats.org/officeDocument/2006/relationships/externalLinkPath" Target="file:///Y:\Personal\adriana.sienes\Adriana\Liquidaciones%20Mareas\A19\A19%20307%20CLC%20producci&#243;n%20SUAREZ%20-%20MARTINEZ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ucción ARG"/>
      <sheetName val="producción ESP"/>
    </sheetNames>
    <sheetDataSet>
      <sheetData sheetId="0"/>
      <sheetData sheetId="1">
        <row r="19">
          <cell r="D19">
            <v>4997249.4253500002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Z49"/>
  <sheetViews>
    <sheetView showGridLines="0" tabSelected="1" workbookViewId="0">
      <selection activeCell="L24" sqref="L24"/>
    </sheetView>
  </sheetViews>
  <sheetFormatPr baseColWidth="10" defaultColWidth="11.5" defaultRowHeight="11.25" x14ac:dyDescent="0.2"/>
  <cols>
    <col min="1" max="1" width="9.33203125" style="1" customWidth="1"/>
    <col min="2" max="2" width="14" style="1" customWidth="1"/>
    <col min="3" max="3" width="11.5" style="1"/>
    <col min="4" max="4" width="11.5" style="1" bestFit="1" customWidth="1"/>
    <col min="5" max="5" width="10.5" style="1" bestFit="1" customWidth="1"/>
    <col min="6" max="7" width="10.1640625" style="1" bestFit="1" customWidth="1"/>
    <col min="8" max="8" width="11.6640625" style="1" bestFit="1" customWidth="1"/>
    <col min="9" max="11" width="12.33203125" style="1" bestFit="1" customWidth="1"/>
    <col min="12" max="12" width="12.6640625" style="1" bestFit="1" customWidth="1"/>
    <col min="13" max="13" width="13.6640625" style="1" bestFit="1" customWidth="1"/>
    <col min="14" max="15" width="12.6640625" style="1" bestFit="1" customWidth="1"/>
    <col min="16" max="18" width="11.83203125" style="1" customWidth="1"/>
    <col min="19" max="19" width="11.6640625" style="1" bestFit="1" customWidth="1"/>
    <col min="20" max="20" width="11.33203125" style="5" bestFit="1" customWidth="1"/>
    <col min="21" max="21" width="12.33203125" style="5" bestFit="1" customWidth="1"/>
    <col min="22" max="22" width="10.1640625" style="5" bestFit="1" customWidth="1"/>
    <col min="23" max="23" width="10.1640625" style="1" bestFit="1" customWidth="1"/>
    <col min="24" max="24" width="11.5" style="1"/>
    <col min="25" max="25" width="12.6640625" style="1" bestFit="1" customWidth="1"/>
    <col min="26" max="16384" width="11.5" style="1"/>
  </cols>
  <sheetData>
    <row r="1" spans="1:22" x14ac:dyDescent="0.2">
      <c r="A1" s="9" t="s">
        <v>39</v>
      </c>
      <c r="D1" s="10" t="s">
        <v>6</v>
      </c>
    </row>
    <row r="3" spans="1:22" x14ac:dyDescent="0.2">
      <c r="A3" s="9" t="s">
        <v>0</v>
      </c>
      <c r="B3" s="11" t="s">
        <v>65</v>
      </c>
      <c r="D3" s="1" t="s">
        <v>6</v>
      </c>
      <c r="E3" s="10" t="s">
        <v>6</v>
      </c>
      <c r="G3" s="10" t="s">
        <v>6</v>
      </c>
    </row>
    <row r="4" spans="1:22" x14ac:dyDescent="0.2">
      <c r="A4" s="9" t="s">
        <v>30</v>
      </c>
      <c r="B4" s="11">
        <v>307</v>
      </c>
      <c r="E4" s="10"/>
      <c r="G4" s="10"/>
    </row>
    <row r="5" spans="1:22" x14ac:dyDescent="0.2">
      <c r="A5" s="9" t="s">
        <v>40</v>
      </c>
      <c r="B5" s="12">
        <v>45923</v>
      </c>
      <c r="C5" s="13" t="s">
        <v>38</v>
      </c>
      <c r="D5" s="10"/>
      <c r="E5" s="12">
        <v>45942</v>
      </c>
      <c r="F5" s="10"/>
      <c r="G5" s="14">
        <f>E5-B5+1</f>
        <v>20</v>
      </c>
      <c r="H5" s="15" t="s">
        <v>20</v>
      </c>
      <c r="I5" s="16"/>
    </row>
    <row r="6" spans="1:22" x14ac:dyDescent="0.2">
      <c r="A6" s="9"/>
      <c r="B6" s="10"/>
      <c r="C6" s="13"/>
      <c r="D6" s="10"/>
      <c r="E6" s="17"/>
      <c r="F6" s="10"/>
      <c r="G6" s="18"/>
      <c r="H6" s="15"/>
      <c r="I6" s="16"/>
    </row>
    <row r="7" spans="1:22" x14ac:dyDescent="0.2">
      <c r="A7" s="9" t="s">
        <v>33</v>
      </c>
      <c r="B7" s="10"/>
      <c r="C7" s="14">
        <v>1400</v>
      </c>
      <c r="R7" s="5"/>
      <c r="S7" s="5"/>
      <c r="U7" s="1"/>
      <c r="V7" s="1"/>
    </row>
    <row r="8" spans="1:22" x14ac:dyDescent="0.2">
      <c r="A8" s="9" t="s">
        <v>34</v>
      </c>
      <c r="B8" s="10"/>
      <c r="C8" s="20">
        <v>60</v>
      </c>
      <c r="D8" s="19"/>
      <c r="E8" s="16"/>
    </row>
    <row r="9" spans="1:22" x14ac:dyDescent="0.2">
      <c r="A9" s="9" t="s">
        <v>35</v>
      </c>
      <c r="B9" s="10"/>
      <c r="C9" s="20">
        <v>90</v>
      </c>
      <c r="D9" s="19"/>
      <c r="E9" s="16"/>
    </row>
    <row r="10" spans="1:22" x14ac:dyDescent="0.2">
      <c r="A10" s="9" t="s">
        <v>36</v>
      </c>
      <c r="B10" s="10"/>
      <c r="C10" s="20">
        <v>78</v>
      </c>
      <c r="D10" s="19"/>
      <c r="E10" s="16"/>
    </row>
    <row r="11" spans="1:22" x14ac:dyDescent="0.2">
      <c r="B11" s="21"/>
      <c r="E11" s="10"/>
      <c r="G11" s="101" t="s">
        <v>19</v>
      </c>
      <c r="H11" s="101"/>
    </row>
    <row r="12" spans="1:22" x14ac:dyDescent="0.2">
      <c r="A12" s="9" t="s">
        <v>25</v>
      </c>
      <c r="C12" s="9" t="s">
        <v>3</v>
      </c>
      <c r="F12" s="22" t="s">
        <v>20</v>
      </c>
      <c r="G12" s="4" t="s">
        <v>31</v>
      </c>
      <c r="H12" s="4" t="s">
        <v>32</v>
      </c>
      <c r="I12" s="4" t="s">
        <v>23</v>
      </c>
      <c r="J12" s="4" t="s">
        <v>21</v>
      </c>
      <c r="K12" s="4" t="s">
        <v>22</v>
      </c>
      <c r="L12" s="4" t="s">
        <v>41</v>
      </c>
      <c r="M12" s="4" t="s">
        <v>26</v>
      </c>
    </row>
    <row r="13" spans="1:22" x14ac:dyDescent="0.2">
      <c r="A13" s="1" t="s">
        <v>1</v>
      </c>
      <c r="C13" s="23">
        <v>4220</v>
      </c>
      <c r="D13" s="102" t="s">
        <v>69</v>
      </c>
      <c r="E13" s="103"/>
      <c r="F13" s="24">
        <f>+G5</f>
        <v>20</v>
      </c>
      <c r="G13" s="5">
        <v>6900</v>
      </c>
      <c r="H13" s="5">
        <f>G13*$C$7</f>
        <v>9660000</v>
      </c>
      <c r="I13" s="25"/>
      <c r="J13" s="5"/>
      <c r="K13" s="5">
        <f>H13/30*F13</f>
        <v>6440000</v>
      </c>
      <c r="L13" s="25"/>
      <c r="M13" s="5">
        <f>K13-L13</f>
        <v>6440000</v>
      </c>
      <c r="O13" s="26"/>
    </row>
    <row r="14" spans="1:22" x14ac:dyDescent="0.2">
      <c r="A14" s="1" t="s">
        <v>62</v>
      </c>
      <c r="C14" s="23">
        <v>2451</v>
      </c>
      <c r="D14" s="102" t="s">
        <v>66</v>
      </c>
      <c r="E14" s="103"/>
      <c r="F14" s="24">
        <f>+G5</f>
        <v>20</v>
      </c>
      <c r="G14" s="5">
        <v>5400</v>
      </c>
      <c r="H14" s="5">
        <f>G14*$C$7</f>
        <v>7560000</v>
      </c>
      <c r="I14" s="25"/>
      <c r="J14" s="5"/>
      <c r="K14" s="5">
        <f>H14/30*F14</f>
        <v>5040000</v>
      </c>
      <c r="L14" s="25"/>
      <c r="M14" s="5">
        <f>K14-L14</f>
        <v>5040000</v>
      </c>
      <c r="O14" s="26"/>
    </row>
    <row r="15" spans="1:22" x14ac:dyDescent="0.2">
      <c r="A15" s="1" t="s">
        <v>2</v>
      </c>
      <c r="C15" s="23">
        <v>794</v>
      </c>
      <c r="D15" s="102" t="s">
        <v>67</v>
      </c>
      <c r="E15" s="103"/>
      <c r="F15" s="24">
        <f>+G5</f>
        <v>20</v>
      </c>
      <c r="G15" s="5">
        <v>7000</v>
      </c>
      <c r="H15" s="5">
        <f>G15*$C$7</f>
        <v>9800000</v>
      </c>
      <c r="I15" s="25"/>
      <c r="J15" s="5"/>
      <c r="K15" s="5">
        <f>H15/30*F15</f>
        <v>6533333.333333334</v>
      </c>
      <c r="L15" s="25"/>
      <c r="M15" s="5">
        <f>K15-L15</f>
        <v>6533333.333333334</v>
      </c>
      <c r="O15" s="26"/>
    </row>
    <row r="16" spans="1:22" x14ac:dyDescent="0.2">
      <c r="A16" s="1" t="s">
        <v>63</v>
      </c>
      <c r="C16" s="23">
        <v>3039</v>
      </c>
      <c r="D16" s="102" t="s">
        <v>68</v>
      </c>
      <c r="E16" s="103"/>
      <c r="F16" s="24">
        <f>+G5</f>
        <v>20</v>
      </c>
      <c r="G16" s="5">
        <v>4750</v>
      </c>
      <c r="H16" s="5">
        <f>G16*$C$7</f>
        <v>6650000</v>
      </c>
      <c r="I16" s="25"/>
      <c r="J16" s="5"/>
      <c r="K16" s="5">
        <f>H16/30*F16</f>
        <v>4433333.333333333</v>
      </c>
      <c r="L16" s="25"/>
      <c r="M16" s="5">
        <f>K16-L16</f>
        <v>4433333.333333333</v>
      </c>
      <c r="O16" s="26"/>
    </row>
    <row r="17" spans="1:24" ht="12" thickBot="1" x14ac:dyDescent="0.25">
      <c r="A17" s="9"/>
      <c r="F17" s="27"/>
      <c r="K17" s="26"/>
      <c r="L17" s="26"/>
      <c r="M17" s="26"/>
    </row>
    <row r="18" spans="1:24" s="9" customFormat="1" x14ac:dyDescent="0.2">
      <c r="A18" s="28" t="s">
        <v>37</v>
      </c>
      <c r="B18" s="29"/>
      <c r="C18" s="30">
        <f>+E5</f>
        <v>45942</v>
      </c>
      <c r="D18" s="99" t="s">
        <v>42</v>
      </c>
      <c r="E18" s="100"/>
      <c r="F18" s="100"/>
      <c r="G18" s="104"/>
      <c r="H18" s="31" t="s">
        <v>43</v>
      </c>
      <c r="I18" s="99" t="s">
        <v>44</v>
      </c>
      <c r="J18" s="100"/>
      <c r="K18" s="100"/>
      <c r="L18" s="100"/>
      <c r="M18" s="32" t="s">
        <v>59</v>
      </c>
      <c r="N18" s="33">
        <v>2.1999999999999999E-2</v>
      </c>
      <c r="O18" s="33">
        <v>1.7999999999999999E-2</v>
      </c>
      <c r="P18" s="33">
        <v>0.01</v>
      </c>
      <c r="Q18" s="34">
        <v>8.9999999999999993E-3</v>
      </c>
      <c r="R18" s="35">
        <v>8.5000000000000006E-3</v>
      </c>
      <c r="U18" s="2"/>
    </row>
    <row r="19" spans="1:24" x14ac:dyDescent="0.2">
      <c r="A19" s="36" t="s">
        <v>7</v>
      </c>
      <c r="B19" s="37" t="s">
        <v>4</v>
      </c>
      <c r="C19" s="38" t="s">
        <v>5</v>
      </c>
      <c r="D19" s="36" t="s">
        <v>1</v>
      </c>
      <c r="E19" s="37" t="s">
        <v>29</v>
      </c>
      <c r="F19" s="37" t="s">
        <v>28</v>
      </c>
      <c r="G19" s="38" t="s">
        <v>27</v>
      </c>
      <c r="H19" s="39" t="s">
        <v>24</v>
      </c>
      <c r="I19" s="36" t="s">
        <v>1</v>
      </c>
      <c r="J19" s="37" t="s">
        <v>29</v>
      </c>
      <c r="K19" s="37" t="s">
        <v>28</v>
      </c>
      <c r="L19" s="40" t="s">
        <v>27</v>
      </c>
      <c r="M19" s="41" t="str">
        <f>+H19</f>
        <v>SOMU</v>
      </c>
      <c r="N19" s="42" t="s">
        <v>1</v>
      </c>
      <c r="O19" s="42" t="s">
        <v>50</v>
      </c>
      <c r="P19" s="42" t="s">
        <v>47</v>
      </c>
      <c r="Q19" s="37" t="s">
        <v>48</v>
      </c>
      <c r="R19" s="38" t="s">
        <v>49</v>
      </c>
      <c r="T19" s="43"/>
    </row>
    <row r="20" spans="1:24" x14ac:dyDescent="0.2">
      <c r="A20" s="36" t="s">
        <v>8</v>
      </c>
      <c r="B20" s="44">
        <f>C20/12*14</f>
        <v>51366</v>
      </c>
      <c r="C20" s="45">
        <v>44028</v>
      </c>
      <c r="D20" s="42">
        <v>125.19</v>
      </c>
      <c r="E20" s="47">
        <v>92.53</v>
      </c>
      <c r="F20" s="46">
        <v>108.86</v>
      </c>
      <c r="G20" s="47">
        <v>92.53</v>
      </c>
      <c r="H20" s="48">
        <f>5800</f>
        <v>5800</v>
      </c>
      <c r="I20" s="42">
        <f t="shared" ref="I20:I29" si="0">((C20*D20/1000)*$C$7)*$C$9/100</f>
        <v>6944950.303199999</v>
      </c>
      <c r="J20" s="46">
        <f t="shared" ref="J20:J29" si="1">((C20*E20/1000)*$C$7)*$C$9/100</f>
        <v>5133127.6584000001</v>
      </c>
      <c r="K20" s="46">
        <f t="shared" ref="K20:K29" si="2">((C20*F20/1000)*$C$7)*$C$9/100</f>
        <v>6039038.9808</v>
      </c>
      <c r="L20" s="40">
        <f t="shared" ref="L20:L29" si="3">((C20*G20/1000)*$C$7)*$C$9/100</f>
        <v>5133127.6584000001</v>
      </c>
      <c r="M20" s="49">
        <f>((C20*H20/1000)*$C$7)</f>
        <v>357507360</v>
      </c>
      <c r="N20" s="42">
        <f t="shared" ref="N20:N29" si="4">+M20*$N$18*$C$9/100*0.78</f>
        <v>5521343.6678399993</v>
      </c>
      <c r="O20" s="42">
        <f t="shared" ref="O20:O29" si="5">+M20*$O$18*$C$9/100*0.78</f>
        <v>4517463.0009599989</v>
      </c>
      <c r="P20" s="42">
        <f t="shared" ref="P20:P29" si="6">+M20*$P$18*$C$10/100</f>
        <v>2788557.4080000003</v>
      </c>
      <c r="Q20" s="46">
        <f t="shared" ref="Q20:Q29" si="7">M20*$Q$18*$C$10/100</f>
        <v>2509701.6671999996</v>
      </c>
      <c r="R20" s="47">
        <f t="shared" ref="R20:R29" si="8">+M20*$R$18*$C$10/100</f>
        <v>2370273.7968000001</v>
      </c>
      <c r="S20" s="3">
        <f t="shared" ref="S20:U20" si="9">+P20*0.3</f>
        <v>836567.22240000009</v>
      </c>
      <c r="T20" s="3">
        <f t="shared" si="9"/>
        <v>752910.50015999982</v>
      </c>
      <c r="U20" s="3">
        <f t="shared" si="9"/>
        <v>711082.13904000004</v>
      </c>
      <c r="V20" s="1"/>
      <c r="W20" s="3"/>
    </row>
    <row r="21" spans="1:24" x14ac:dyDescent="0.2">
      <c r="A21" s="36" t="s">
        <v>9</v>
      </c>
      <c r="B21" s="44">
        <f t="shared" ref="B21:B29" si="10">C21/12*14</f>
        <v>12250</v>
      </c>
      <c r="C21" s="45">
        <v>10500</v>
      </c>
      <c r="D21" s="42">
        <v>92.92</v>
      </c>
      <c r="E21" s="47">
        <v>68.680000000000007</v>
      </c>
      <c r="F21" s="46">
        <v>80.8</v>
      </c>
      <c r="G21" s="47">
        <v>68.680000000000007</v>
      </c>
      <c r="H21" s="48">
        <f>5500</f>
        <v>5500</v>
      </c>
      <c r="I21" s="42">
        <f t="shared" si="0"/>
        <v>1229331.6000000001</v>
      </c>
      <c r="J21" s="46">
        <f t="shared" si="1"/>
        <v>908636.40000000014</v>
      </c>
      <c r="K21" s="46">
        <f t="shared" si="2"/>
        <v>1068984</v>
      </c>
      <c r="L21" s="40">
        <f t="shared" si="3"/>
        <v>908636.40000000014</v>
      </c>
      <c r="M21" s="49">
        <f t="shared" ref="M21:M31" si="11">((C21*H21/1000)*$C$7)</f>
        <v>80850000</v>
      </c>
      <c r="N21" s="42">
        <f t="shared" si="4"/>
        <v>1248647.4000000001</v>
      </c>
      <c r="O21" s="42">
        <f t="shared" si="5"/>
        <v>1021620.6000000001</v>
      </c>
      <c r="P21" s="42">
        <f t="shared" si="6"/>
        <v>630630</v>
      </c>
      <c r="Q21" s="46">
        <f t="shared" si="7"/>
        <v>567567</v>
      </c>
      <c r="R21" s="47">
        <f t="shared" si="8"/>
        <v>536035.5</v>
      </c>
      <c r="S21" s="3">
        <f t="shared" ref="S21:S31" si="12">+P21*0.3</f>
        <v>189189</v>
      </c>
      <c r="T21" s="3">
        <f t="shared" ref="T21:T31" si="13">+Q21*0.3</f>
        <v>170270.1</v>
      </c>
      <c r="U21" s="3">
        <f t="shared" ref="U21:U31" si="14">+R21*0.3</f>
        <v>160810.65</v>
      </c>
      <c r="V21" s="1"/>
    </row>
    <row r="22" spans="1:24" x14ac:dyDescent="0.2">
      <c r="A22" s="36" t="s">
        <v>10</v>
      </c>
      <c r="B22" s="44">
        <f t="shared" si="10"/>
        <v>28</v>
      </c>
      <c r="C22" s="45">
        <v>24</v>
      </c>
      <c r="D22" s="42">
        <v>75.5</v>
      </c>
      <c r="E22" s="47">
        <v>55.81</v>
      </c>
      <c r="F22" s="46">
        <v>65.650000000000006</v>
      </c>
      <c r="G22" s="47">
        <v>55.81</v>
      </c>
      <c r="H22" s="48">
        <f>4500</f>
        <v>4500</v>
      </c>
      <c r="I22" s="42">
        <f t="shared" si="0"/>
        <v>2283.1200000000003</v>
      </c>
      <c r="J22" s="46">
        <f t="shared" si="1"/>
        <v>1687.6944000000001</v>
      </c>
      <c r="K22" s="46">
        <f t="shared" si="2"/>
        <v>1985.2560000000001</v>
      </c>
      <c r="L22" s="40">
        <f t="shared" si="3"/>
        <v>1687.6944000000001</v>
      </c>
      <c r="M22" s="49">
        <f t="shared" si="11"/>
        <v>151200</v>
      </c>
      <c r="N22" s="42">
        <f t="shared" si="4"/>
        <v>2335.1327999999994</v>
      </c>
      <c r="O22" s="42">
        <f t="shared" si="5"/>
        <v>1910.5632000000001</v>
      </c>
      <c r="P22" s="42">
        <f t="shared" si="6"/>
        <v>1179.3599999999999</v>
      </c>
      <c r="Q22" s="46">
        <f t="shared" si="7"/>
        <v>1061.424</v>
      </c>
      <c r="R22" s="47">
        <f t="shared" si="8"/>
        <v>1002.456</v>
      </c>
      <c r="S22" s="3">
        <f t="shared" si="12"/>
        <v>353.80799999999994</v>
      </c>
      <c r="T22" s="3">
        <f t="shared" si="13"/>
        <v>318.42719999999997</v>
      </c>
      <c r="U22" s="3">
        <f t="shared" si="14"/>
        <v>300.73680000000002</v>
      </c>
      <c r="V22" s="1"/>
      <c r="W22" s="5"/>
      <c r="X22" s="3"/>
    </row>
    <row r="23" spans="1:24" x14ac:dyDescent="0.2">
      <c r="A23" s="36" t="s">
        <v>11</v>
      </c>
      <c r="B23" s="44">
        <f t="shared" si="10"/>
        <v>0</v>
      </c>
      <c r="C23" s="45">
        <v>0</v>
      </c>
      <c r="D23" s="42">
        <v>61.69</v>
      </c>
      <c r="E23" s="47">
        <v>45.61</v>
      </c>
      <c r="F23" s="46">
        <v>53.64</v>
      </c>
      <c r="G23" s="47">
        <v>45.61</v>
      </c>
      <c r="H23" s="48">
        <f>3900</f>
        <v>3900</v>
      </c>
      <c r="I23" s="42">
        <f t="shared" si="0"/>
        <v>0</v>
      </c>
      <c r="J23" s="46">
        <f t="shared" si="1"/>
        <v>0</v>
      </c>
      <c r="K23" s="46">
        <f t="shared" si="2"/>
        <v>0</v>
      </c>
      <c r="L23" s="40">
        <f t="shared" si="3"/>
        <v>0</v>
      </c>
      <c r="M23" s="49">
        <f t="shared" si="11"/>
        <v>0</v>
      </c>
      <c r="N23" s="42">
        <f t="shared" si="4"/>
        <v>0</v>
      </c>
      <c r="O23" s="42">
        <f t="shared" si="5"/>
        <v>0</v>
      </c>
      <c r="P23" s="42">
        <f t="shared" si="6"/>
        <v>0</v>
      </c>
      <c r="Q23" s="46">
        <f t="shared" si="7"/>
        <v>0</v>
      </c>
      <c r="R23" s="47">
        <f t="shared" si="8"/>
        <v>0</v>
      </c>
      <c r="S23" s="3">
        <f t="shared" si="12"/>
        <v>0</v>
      </c>
      <c r="T23" s="3">
        <f t="shared" si="13"/>
        <v>0</v>
      </c>
      <c r="U23" s="3">
        <f t="shared" si="14"/>
        <v>0</v>
      </c>
      <c r="V23" s="1"/>
    </row>
    <row r="24" spans="1:24" x14ac:dyDescent="0.2">
      <c r="A24" s="36" t="s">
        <v>12</v>
      </c>
      <c r="B24" s="44">
        <f t="shared" si="10"/>
        <v>0</v>
      </c>
      <c r="C24" s="45">
        <v>0</v>
      </c>
      <c r="D24" s="42">
        <v>52.26</v>
      </c>
      <c r="E24" s="47">
        <v>38.630000000000003</v>
      </c>
      <c r="F24" s="46">
        <v>45.44</v>
      </c>
      <c r="G24" s="47">
        <v>38.630000000000003</v>
      </c>
      <c r="H24" s="48">
        <f>3500</f>
        <v>3500</v>
      </c>
      <c r="I24" s="42">
        <f t="shared" si="0"/>
        <v>0</v>
      </c>
      <c r="J24" s="46">
        <f t="shared" si="1"/>
        <v>0</v>
      </c>
      <c r="K24" s="46">
        <f t="shared" si="2"/>
        <v>0</v>
      </c>
      <c r="L24" s="40">
        <f t="shared" si="3"/>
        <v>0</v>
      </c>
      <c r="M24" s="49">
        <f t="shared" si="11"/>
        <v>0</v>
      </c>
      <c r="N24" s="42">
        <f t="shared" si="4"/>
        <v>0</v>
      </c>
      <c r="O24" s="42">
        <f t="shared" si="5"/>
        <v>0</v>
      </c>
      <c r="P24" s="42">
        <f t="shared" si="6"/>
        <v>0</v>
      </c>
      <c r="Q24" s="46">
        <f t="shared" si="7"/>
        <v>0</v>
      </c>
      <c r="R24" s="47">
        <f t="shared" si="8"/>
        <v>0</v>
      </c>
      <c r="S24" s="3">
        <f t="shared" si="12"/>
        <v>0</v>
      </c>
      <c r="T24" s="3">
        <f t="shared" si="13"/>
        <v>0</v>
      </c>
      <c r="U24" s="3">
        <f t="shared" si="14"/>
        <v>0</v>
      </c>
      <c r="V24" s="1"/>
    </row>
    <row r="25" spans="1:24" x14ac:dyDescent="0.2">
      <c r="A25" s="36" t="s">
        <v>13</v>
      </c>
      <c r="B25" s="44">
        <f t="shared" si="10"/>
        <v>0</v>
      </c>
      <c r="C25" s="45">
        <v>0</v>
      </c>
      <c r="D25" s="42">
        <v>52.26</v>
      </c>
      <c r="E25" s="47">
        <v>38.630000000000003</v>
      </c>
      <c r="F25" s="46">
        <v>45.44</v>
      </c>
      <c r="G25" s="47">
        <v>38.630000000000003</v>
      </c>
      <c r="H25" s="48">
        <f>3100</f>
        <v>3100</v>
      </c>
      <c r="I25" s="42">
        <f t="shared" si="0"/>
        <v>0</v>
      </c>
      <c r="J25" s="46">
        <f t="shared" si="1"/>
        <v>0</v>
      </c>
      <c r="K25" s="46">
        <f t="shared" si="2"/>
        <v>0</v>
      </c>
      <c r="L25" s="40">
        <f t="shared" si="3"/>
        <v>0</v>
      </c>
      <c r="M25" s="49">
        <f t="shared" si="11"/>
        <v>0</v>
      </c>
      <c r="N25" s="42">
        <f t="shared" si="4"/>
        <v>0</v>
      </c>
      <c r="O25" s="42">
        <f t="shared" si="5"/>
        <v>0</v>
      </c>
      <c r="P25" s="42">
        <f t="shared" si="6"/>
        <v>0</v>
      </c>
      <c r="Q25" s="46">
        <f t="shared" si="7"/>
        <v>0</v>
      </c>
      <c r="R25" s="47">
        <f t="shared" si="8"/>
        <v>0</v>
      </c>
      <c r="S25" s="3">
        <f t="shared" si="12"/>
        <v>0</v>
      </c>
      <c r="T25" s="3">
        <f t="shared" si="13"/>
        <v>0</v>
      </c>
      <c r="U25" s="3">
        <f t="shared" si="14"/>
        <v>0</v>
      </c>
      <c r="V25" s="1"/>
    </row>
    <row r="26" spans="1:24" x14ac:dyDescent="0.2">
      <c r="A26" s="36" t="s">
        <v>14</v>
      </c>
      <c r="B26" s="44">
        <f t="shared" si="10"/>
        <v>2814</v>
      </c>
      <c r="C26" s="45">
        <v>2412</v>
      </c>
      <c r="D26" s="42">
        <v>123.94</v>
      </c>
      <c r="E26" s="47">
        <v>91.61</v>
      </c>
      <c r="F26" s="46">
        <v>107.77</v>
      </c>
      <c r="G26" s="47">
        <v>91.61</v>
      </c>
      <c r="H26" s="48">
        <v>4500</v>
      </c>
      <c r="I26" s="42">
        <f t="shared" si="0"/>
        <v>376668.53279999993</v>
      </c>
      <c r="J26" s="46">
        <f t="shared" si="1"/>
        <v>278413.78320000001</v>
      </c>
      <c r="K26" s="46">
        <f t="shared" si="2"/>
        <v>327525.96239999996</v>
      </c>
      <c r="L26" s="40">
        <f t="shared" si="3"/>
        <v>278413.78320000001</v>
      </c>
      <c r="M26" s="49">
        <f t="shared" si="11"/>
        <v>15195600</v>
      </c>
      <c r="N26" s="42">
        <f t="shared" si="4"/>
        <v>234680.84639999998</v>
      </c>
      <c r="O26" s="42">
        <f t="shared" si="5"/>
        <v>192011.60159999999</v>
      </c>
      <c r="P26" s="42">
        <f t="shared" si="6"/>
        <v>118525.68</v>
      </c>
      <c r="Q26" s="46">
        <f t="shared" si="7"/>
        <v>106673.11199999999</v>
      </c>
      <c r="R26" s="47">
        <f t="shared" si="8"/>
        <v>100746.82800000001</v>
      </c>
      <c r="S26" s="3">
        <f t="shared" si="12"/>
        <v>35557.703999999998</v>
      </c>
      <c r="T26" s="3">
        <f t="shared" si="13"/>
        <v>32001.933599999997</v>
      </c>
      <c r="U26" s="3">
        <f t="shared" si="14"/>
        <v>30224.0484</v>
      </c>
      <c r="V26" s="1"/>
    </row>
    <row r="27" spans="1:24" x14ac:dyDescent="0.2">
      <c r="A27" s="36" t="s">
        <v>15</v>
      </c>
      <c r="B27" s="44">
        <f t="shared" si="10"/>
        <v>0</v>
      </c>
      <c r="C27" s="45">
        <v>0</v>
      </c>
      <c r="D27" s="42">
        <v>75.5</v>
      </c>
      <c r="E27" s="47">
        <v>55.81</v>
      </c>
      <c r="F27" s="46">
        <v>65.650000000000006</v>
      </c>
      <c r="G27" s="47">
        <v>55.81</v>
      </c>
      <c r="H27" s="48">
        <v>4500</v>
      </c>
      <c r="I27" s="42">
        <f t="shared" si="0"/>
        <v>0</v>
      </c>
      <c r="J27" s="46">
        <f t="shared" si="1"/>
        <v>0</v>
      </c>
      <c r="K27" s="46">
        <f t="shared" si="2"/>
        <v>0</v>
      </c>
      <c r="L27" s="40">
        <f t="shared" si="3"/>
        <v>0</v>
      </c>
      <c r="M27" s="49">
        <f t="shared" si="11"/>
        <v>0</v>
      </c>
      <c r="N27" s="42">
        <f t="shared" si="4"/>
        <v>0</v>
      </c>
      <c r="O27" s="42">
        <f t="shared" si="5"/>
        <v>0</v>
      </c>
      <c r="P27" s="42">
        <f t="shared" si="6"/>
        <v>0</v>
      </c>
      <c r="Q27" s="46">
        <f t="shared" si="7"/>
        <v>0</v>
      </c>
      <c r="R27" s="47">
        <f t="shared" si="8"/>
        <v>0</v>
      </c>
      <c r="S27" s="3">
        <f t="shared" si="12"/>
        <v>0</v>
      </c>
      <c r="T27" s="3">
        <f t="shared" si="13"/>
        <v>0</v>
      </c>
      <c r="U27" s="3">
        <f t="shared" si="14"/>
        <v>0</v>
      </c>
      <c r="V27" s="1"/>
    </row>
    <row r="28" spans="1:24" x14ac:dyDescent="0.2">
      <c r="A28" s="36" t="s">
        <v>16</v>
      </c>
      <c r="B28" s="44">
        <f t="shared" si="10"/>
        <v>0</v>
      </c>
      <c r="C28" s="45">
        <v>0</v>
      </c>
      <c r="D28" s="42">
        <v>52.260000000000005</v>
      </c>
      <c r="E28" s="47">
        <v>38.630000000000003</v>
      </c>
      <c r="F28" s="46">
        <v>45.44</v>
      </c>
      <c r="G28" s="47">
        <v>38.630000000000003</v>
      </c>
      <c r="H28" s="48">
        <f>4500</f>
        <v>4500</v>
      </c>
      <c r="I28" s="42">
        <f t="shared" si="0"/>
        <v>0</v>
      </c>
      <c r="J28" s="46">
        <f t="shared" si="1"/>
        <v>0</v>
      </c>
      <c r="K28" s="46">
        <f t="shared" si="2"/>
        <v>0</v>
      </c>
      <c r="L28" s="40">
        <f t="shared" si="3"/>
        <v>0</v>
      </c>
      <c r="M28" s="49">
        <f t="shared" si="11"/>
        <v>0</v>
      </c>
      <c r="N28" s="42">
        <f t="shared" si="4"/>
        <v>0</v>
      </c>
      <c r="O28" s="42">
        <f t="shared" si="5"/>
        <v>0</v>
      </c>
      <c r="P28" s="42">
        <f t="shared" si="6"/>
        <v>0</v>
      </c>
      <c r="Q28" s="46">
        <f t="shared" si="7"/>
        <v>0</v>
      </c>
      <c r="R28" s="47">
        <f t="shared" si="8"/>
        <v>0</v>
      </c>
      <c r="S28" s="3">
        <f t="shared" si="12"/>
        <v>0</v>
      </c>
      <c r="T28" s="3">
        <f t="shared" si="13"/>
        <v>0</v>
      </c>
      <c r="U28" s="3">
        <f t="shared" si="14"/>
        <v>0</v>
      </c>
      <c r="V28" s="1"/>
    </row>
    <row r="29" spans="1:24" x14ac:dyDescent="0.2">
      <c r="A29" s="36" t="s">
        <v>17</v>
      </c>
      <c r="B29" s="44">
        <f t="shared" si="10"/>
        <v>0</v>
      </c>
      <c r="C29" s="45">
        <v>0</v>
      </c>
      <c r="D29" s="42">
        <v>52.260000000000005</v>
      </c>
      <c r="E29" s="47">
        <v>38.630000000000003</v>
      </c>
      <c r="F29" s="46">
        <v>45.44</v>
      </c>
      <c r="G29" s="47">
        <v>38.630000000000003</v>
      </c>
      <c r="H29" s="48">
        <f>3000</f>
        <v>3000</v>
      </c>
      <c r="I29" s="42">
        <f t="shared" si="0"/>
        <v>0</v>
      </c>
      <c r="J29" s="46">
        <f t="shared" si="1"/>
        <v>0</v>
      </c>
      <c r="K29" s="46">
        <f t="shared" si="2"/>
        <v>0</v>
      </c>
      <c r="L29" s="40">
        <f t="shared" si="3"/>
        <v>0</v>
      </c>
      <c r="M29" s="49">
        <f t="shared" si="11"/>
        <v>0</v>
      </c>
      <c r="N29" s="42">
        <f t="shared" si="4"/>
        <v>0</v>
      </c>
      <c r="O29" s="42">
        <f t="shared" si="5"/>
        <v>0</v>
      </c>
      <c r="P29" s="42">
        <f t="shared" si="6"/>
        <v>0</v>
      </c>
      <c r="Q29" s="46">
        <f t="shared" si="7"/>
        <v>0</v>
      </c>
      <c r="R29" s="47">
        <f t="shared" si="8"/>
        <v>0</v>
      </c>
      <c r="S29" s="3">
        <f t="shared" si="12"/>
        <v>0</v>
      </c>
      <c r="T29" s="3">
        <f t="shared" si="13"/>
        <v>0</v>
      </c>
      <c r="U29" s="3">
        <f t="shared" si="14"/>
        <v>0</v>
      </c>
      <c r="V29" s="1"/>
    </row>
    <row r="30" spans="1:24" x14ac:dyDescent="0.2">
      <c r="A30" s="36" t="s">
        <v>45</v>
      </c>
      <c r="B30" s="44">
        <v>0</v>
      </c>
      <c r="C30" s="45">
        <v>0</v>
      </c>
      <c r="D30" s="42">
        <v>10.78</v>
      </c>
      <c r="E30" s="46">
        <v>7.97</v>
      </c>
      <c r="F30" s="46">
        <v>9.3800000000000008</v>
      </c>
      <c r="G30" s="47">
        <v>7.97</v>
      </c>
      <c r="H30" s="48">
        <v>1600</v>
      </c>
      <c r="I30" s="42">
        <f>C30*D30/1000</f>
        <v>0</v>
      </c>
      <c r="J30" s="46">
        <f>C30*E30/1000</f>
        <v>0</v>
      </c>
      <c r="K30" s="46">
        <f>C30*F30/1000</f>
        <v>0</v>
      </c>
      <c r="L30" s="40">
        <f>C30*G30/1000</f>
        <v>0</v>
      </c>
      <c r="M30" s="49">
        <f t="shared" si="11"/>
        <v>0</v>
      </c>
      <c r="N30" s="42">
        <f>+M30*$N$18</f>
        <v>0</v>
      </c>
      <c r="O30" s="42">
        <f>+M30*$O$18</f>
        <v>0</v>
      </c>
      <c r="P30" s="42">
        <f>+M30*$P$18</f>
        <v>0</v>
      </c>
      <c r="Q30" s="46">
        <f>M30*$Q$18</f>
        <v>0</v>
      </c>
      <c r="R30" s="47">
        <f>+M30*$R$18</f>
        <v>0</v>
      </c>
      <c r="S30" s="3">
        <f t="shared" si="12"/>
        <v>0</v>
      </c>
      <c r="T30" s="3">
        <f t="shared" si="13"/>
        <v>0</v>
      </c>
      <c r="U30" s="3">
        <f t="shared" si="14"/>
        <v>0</v>
      </c>
      <c r="V30" s="1"/>
    </row>
    <row r="31" spans="1:24" x14ac:dyDescent="0.2">
      <c r="A31" s="36" t="s">
        <v>46</v>
      </c>
      <c r="B31" s="44"/>
      <c r="C31" s="45">
        <v>0</v>
      </c>
      <c r="D31" s="42">
        <v>10.78</v>
      </c>
      <c r="E31" s="46">
        <v>7.97</v>
      </c>
      <c r="F31" s="46">
        <v>9.3800000000000008</v>
      </c>
      <c r="G31" s="47">
        <v>7.97</v>
      </c>
      <c r="H31" s="48">
        <v>200</v>
      </c>
      <c r="I31" s="42">
        <f>C31*D31/1000</f>
        <v>0</v>
      </c>
      <c r="J31" s="46">
        <f>C31*E31/1000</f>
        <v>0</v>
      </c>
      <c r="K31" s="46">
        <f>C31*F31/1000</f>
        <v>0</v>
      </c>
      <c r="L31" s="40">
        <f>C31*G31/1000</f>
        <v>0</v>
      </c>
      <c r="M31" s="49">
        <f t="shared" si="11"/>
        <v>0</v>
      </c>
      <c r="N31" s="42">
        <f>+M31*$N$18</f>
        <v>0</v>
      </c>
      <c r="O31" s="42">
        <f>+M31*$O$18</f>
        <v>0</v>
      </c>
      <c r="P31" s="42">
        <f>+M31*$P$18</f>
        <v>0</v>
      </c>
      <c r="Q31" s="46">
        <f>M31*$Q$18</f>
        <v>0</v>
      </c>
      <c r="R31" s="47">
        <f>+M31*$R$18</f>
        <v>0</v>
      </c>
      <c r="S31" s="3">
        <f t="shared" si="12"/>
        <v>0</v>
      </c>
      <c r="T31" s="3">
        <f t="shared" si="13"/>
        <v>0</v>
      </c>
      <c r="U31" s="3">
        <f t="shared" si="14"/>
        <v>0</v>
      </c>
      <c r="V31" s="1"/>
    </row>
    <row r="32" spans="1:24" x14ac:dyDescent="0.2">
      <c r="A32" s="36"/>
      <c r="B32" s="44"/>
      <c r="C32" s="38"/>
      <c r="D32" s="42"/>
      <c r="E32" s="46"/>
      <c r="F32" s="46"/>
      <c r="G32" s="47"/>
      <c r="H32" s="48"/>
      <c r="I32" s="42"/>
      <c r="J32" s="46"/>
      <c r="K32" s="46"/>
      <c r="L32" s="40"/>
      <c r="M32" s="50"/>
      <c r="N32" s="42"/>
      <c r="O32" s="42"/>
      <c r="P32" s="42"/>
      <c r="Q32" s="46"/>
      <c r="R32" s="47"/>
      <c r="S32" s="3"/>
      <c r="T32" s="3"/>
      <c r="U32" s="3"/>
      <c r="V32" s="1"/>
    </row>
    <row r="33" spans="1:26" s="9" customFormat="1" ht="12" thickBot="1" x14ac:dyDescent="0.25">
      <c r="A33" s="51" t="s">
        <v>18</v>
      </c>
      <c r="B33" s="52">
        <f>SUM(B20:B32)</f>
        <v>66458</v>
      </c>
      <c r="C33" s="53">
        <f>SUM(C20:C32)</f>
        <v>56964</v>
      </c>
      <c r="D33" s="54"/>
      <c r="E33" s="55"/>
      <c r="F33" s="55"/>
      <c r="G33" s="56"/>
      <c r="H33" s="57"/>
      <c r="I33" s="54">
        <f t="shared" ref="I33:R33" si="15">SUM(I20:I32)</f>
        <v>8553233.555999998</v>
      </c>
      <c r="J33" s="55">
        <f t="shared" si="15"/>
        <v>6321865.5360000012</v>
      </c>
      <c r="K33" s="55">
        <f t="shared" si="15"/>
        <v>7437534.1991999997</v>
      </c>
      <c r="L33" s="58">
        <f t="shared" si="15"/>
        <v>6321865.5360000012</v>
      </c>
      <c r="M33" s="59">
        <f t="shared" si="15"/>
        <v>453704160</v>
      </c>
      <c r="N33" s="54">
        <f t="shared" si="15"/>
        <v>7007007.0470399996</v>
      </c>
      <c r="O33" s="54">
        <f t="shared" si="15"/>
        <v>5733005.7657599989</v>
      </c>
      <c r="P33" s="54">
        <f t="shared" si="15"/>
        <v>3538892.4480000003</v>
      </c>
      <c r="Q33" s="55">
        <f t="shared" si="15"/>
        <v>3185003.2031999999</v>
      </c>
      <c r="R33" s="56">
        <f t="shared" si="15"/>
        <v>3008058.5808000001</v>
      </c>
      <c r="S33" s="2"/>
      <c r="U33" s="2"/>
    </row>
    <row r="34" spans="1:26" x14ac:dyDescent="0.2">
      <c r="D34" s="3"/>
      <c r="E34" s="3"/>
      <c r="F34" s="3"/>
      <c r="G34" s="2" t="s">
        <v>61</v>
      </c>
      <c r="H34" s="3"/>
      <c r="I34" s="4">
        <f>+I33-N33</f>
        <v>1546226.5089599984</v>
      </c>
      <c r="J34" s="4">
        <f>+J33-O33</f>
        <v>588859.77024000231</v>
      </c>
      <c r="K34" s="4">
        <f>+K33*0.15</f>
        <v>1115630.1298799999</v>
      </c>
      <c r="L34" s="4">
        <f>+L33*0.15</f>
        <v>948279.83040000009</v>
      </c>
      <c r="M34" s="5"/>
      <c r="N34" s="5"/>
      <c r="O34" s="5"/>
      <c r="P34" s="4"/>
      <c r="Q34" s="4"/>
      <c r="R34" s="4"/>
      <c r="S34" s="60"/>
      <c r="T34" s="2"/>
      <c r="U34" s="61"/>
      <c r="V34" s="62"/>
      <c r="W34" s="63"/>
      <c r="X34" s="63"/>
      <c r="Y34" s="63"/>
      <c r="Z34" s="4"/>
    </row>
    <row r="35" spans="1:26" x14ac:dyDescent="0.2">
      <c r="D35" s="3"/>
      <c r="E35" s="3"/>
      <c r="F35" s="3"/>
      <c r="G35" s="3"/>
      <c r="H35" s="6"/>
      <c r="I35" s="7">
        <v>2484000</v>
      </c>
      <c r="J35" s="7">
        <v>1944000</v>
      </c>
      <c r="K35" s="7">
        <v>2520000</v>
      </c>
      <c r="L35" s="7"/>
      <c r="M35" s="8"/>
      <c r="N35" s="7">
        <v>2484000</v>
      </c>
      <c r="O35" s="7">
        <v>1944000</v>
      </c>
      <c r="P35" s="64"/>
      <c r="Q35" s="64"/>
      <c r="R35" s="64"/>
      <c r="S35" s="65"/>
      <c r="T35" s="64"/>
      <c r="U35" s="63"/>
      <c r="V35" s="63"/>
      <c r="W35" s="63"/>
      <c r="X35" s="4"/>
    </row>
    <row r="36" spans="1:26" x14ac:dyDescent="0.2">
      <c r="D36" s="3"/>
      <c r="E36" s="3"/>
      <c r="F36" s="3"/>
      <c r="G36" s="3"/>
      <c r="H36" s="3"/>
      <c r="I36" s="64">
        <f>+I33-I35</f>
        <v>6069233.555999998</v>
      </c>
      <c r="J36" s="64">
        <f>+J33-J35</f>
        <v>4377865.5360000012</v>
      </c>
      <c r="K36" s="64">
        <f>+K33+K34-K35</f>
        <v>6033164.3290800005</v>
      </c>
      <c r="L36" s="64"/>
      <c r="M36" s="64"/>
      <c r="N36" s="64">
        <f>+N33-N35</f>
        <v>4523007.0470399996</v>
      </c>
      <c r="O36" s="64">
        <f>+O33-O35+J40</f>
        <v>3789005.7657599989</v>
      </c>
      <c r="P36" s="66">
        <f>+P26/H26*(H20-H26)</f>
        <v>34240.751999999993</v>
      </c>
      <c r="Q36" s="66">
        <f>+Q26/H26*(H20-H26)</f>
        <v>30816.676800000001</v>
      </c>
      <c r="R36" s="66">
        <f>+R26/H26*(H20-H26)</f>
        <v>29104.639200000005</v>
      </c>
      <c r="S36" s="67" t="s">
        <v>60</v>
      </c>
      <c r="T36" s="68"/>
      <c r="U36" s="69"/>
      <c r="W36" s="5"/>
    </row>
    <row r="37" spans="1:26" x14ac:dyDescent="0.2">
      <c r="D37" s="3"/>
      <c r="G37" s="3"/>
      <c r="N37" s="70"/>
      <c r="O37" s="71"/>
      <c r="P37" s="5"/>
      <c r="Q37" s="74">
        <f>+Q33*0.2</f>
        <v>637000.64064</v>
      </c>
      <c r="R37" s="74">
        <f>+R33*0.2</f>
        <v>601611.71616000007</v>
      </c>
      <c r="S37" s="75" t="s">
        <v>52</v>
      </c>
      <c r="T37" s="9"/>
      <c r="U37" s="3"/>
      <c r="V37" s="3"/>
      <c r="W37" s="3"/>
    </row>
    <row r="38" spans="1:26" x14ac:dyDescent="0.2">
      <c r="D38" s="3"/>
      <c r="E38" s="3"/>
      <c r="F38" s="3"/>
      <c r="G38" s="3"/>
      <c r="N38" s="70"/>
      <c r="O38" s="71"/>
      <c r="P38" s="5"/>
      <c r="Q38" s="64"/>
      <c r="R38" s="72">
        <f>+C33/1000*1532</f>
        <v>87268.847999999998</v>
      </c>
      <c r="S38" s="9" t="s">
        <v>53</v>
      </c>
      <c r="T38" s="9"/>
      <c r="U38" s="73"/>
      <c r="V38" s="73"/>
      <c r="W38" s="73"/>
    </row>
    <row r="39" spans="1:26" x14ac:dyDescent="0.2">
      <c r="D39" s="3"/>
      <c r="E39" s="3"/>
      <c r="F39" s="3"/>
      <c r="G39" s="3"/>
      <c r="N39" s="70"/>
      <c r="P39" s="72"/>
      <c r="Q39" s="3"/>
      <c r="R39" s="5">
        <f>+R38*0.3</f>
        <v>26180.654399999999</v>
      </c>
      <c r="S39" s="5"/>
      <c r="T39" s="1"/>
      <c r="U39" s="1"/>
      <c r="V39" s="1"/>
    </row>
    <row r="40" spans="1:26" x14ac:dyDescent="0.2">
      <c r="D40" s="3"/>
      <c r="E40" s="3"/>
      <c r="F40" s="3"/>
      <c r="G40" s="3"/>
      <c r="H40" s="3"/>
      <c r="I40" s="76"/>
      <c r="J40" s="76"/>
      <c r="K40" s="76"/>
      <c r="L40" s="76"/>
      <c r="M40" s="76"/>
      <c r="N40" s="76"/>
      <c r="P40" s="76"/>
      <c r="Q40" s="76"/>
      <c r="R40" s="76"/>
    </row>
    <row r="41" spans="1:26" x14ac:dyDescent="0.2">
      <c r="D41" s="3"/>
      <c r="E41" s="3"/>
      <c r="F41" s="3"/>
      <c r="G41" s="3"/>
      <c r="I41" s="3"/>
      <c r="J41" s="3"/>
      <c r="K41" s="3"/>
      <c r="L41" s="3"/>
      <c r="P41" s="5"/>
      <c r="Q41" s="5">
        <f>+Q37*0.3</f>
        <v>191100.19219199999</v>
      </c>
      <c r="R41" s="5">
        <f>+R37*0.3</f>
        <v>180483.51484800002</v>
      </c>
    </row>
    <row r="42" spans="1:26" x14ac:dyDescent="0.2">
      <c r="D42" s="3"/>
      <c r="E42" s="3"/>
      <c r="F42" s="3"/>
      <c r="G42" s="3"/>
      <c r="P42" s="5">
        <f>+P36*0.3</f>
        <v>10272.225599999998</v>
      </c>
      <c r="Q42" s="5">
        <f>+Q36*0.3</f>
        <v>9245.0030399999996</v>
      </c>
      <c r="R42" s="5">
        <f>+R36*0.3</f>
        <v>8731.3917600000004</v>
      </c>
    </row>
    <row r="43" spans="1:26" x14ac:dyDescent="0.2">
      <c r="D43" s="3"/>
      <c r="E43" s="3"/>
      <c r="F43" s="3"/>
      <c r="G43" s="3"/>
      <c r="P43" s="3"/>
      <c r="Q43" s="3"/>
      <c r="R43" s="3"/>
    </row>
    <row r="44" spans="1:26" x14ac:dyDescent="0.2">
      <c r="D44" s="3"/>
      <c r="E44" s="3"/>
      <c r="F44" s="3"/>
      <c r="G44" s="3"/>
    </row>
    <row r="45" spans="1:26" x14ac:dyDescent="0.2">
      <c r="D45" s="3"/>
      <c r="E45" s="3"/>
      <c r="F45" s="3"/>
      <c r="G45" s="3"/>
    </row>
    <row r="46" spans="1:26" x14ac:dyDescent="0.2">
      <c r="D46" s="3"/>
      <c r="E46" s="3"/>
      <c r="F46" s="3"/>
      <c r="G46" s="3"/>
    </row>
    <row r="47" spans="1:26" x14ac:dyDescent="0.2">
      <c r="D47" s="3"/>
      <c r="E47" s="3"/>
      <c r="F47" s="3"/>
      <c r="G47" s="3"/>
    </row>
    <row r="48" spans="1:26" x14ac:dyDescent="0.2">
      <c r="D48" s="3"/>
    </row>
    <row r="49" spans="4:4" x14ac:dyDescent="0.2">
      <c r="D49" s="3"/>
    </row>
  </sheetData>
  <mergeCells count="7">
    <mergeCell ref="I18:L18"/>
    <mergeCell ref="G11:H11"/>
    <mergeCell ref="D13:E13"/>
    <mergeCell ref="D14:E14"/>
    <mergeCell ref="D15:E15"/>
    <mergeCell ref="D16:E16"/>
    <mergeCell ref="D18:G18"/>
  </mergeCells>
  <phoneticPr fontId="0" type="noConversion"/>
  <printOptions horizontalCentered="1"/>
  <pageMargins left="0.78740157480314965" right="0.78740157480314965" top="0.98425196850393704" bottom="0.98425196850393704" header="0" footer="0"/>
  <pageSetup paperSize="9" scale="71" fitToHeight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96D7-399E-4778-B3A3-DB25FD482284}">
  <sheetPr>
    <pageSetUpPr fitToPage="1"/>
  </sheetPr>
  <dimension ref="A1:I26"/>
  <sheetViews>
    <sheetView showGridLines="0" workbookViewId="0">
      <selection activeCell="D13" sqref="D13"/>
    </sheetView>
  </sheetViews>
  <sheetFormatPr baseColWidth="10" defaultColWidth="11.5" defaultRowHeight="11.25" x14ac:dyDescent="0.2"/>
  <cols>
    <col min="1" max="1" width="11.83203125" style="1" customWidth="1"/>
    <col min="2" max="2" width="11.5" style="1"/>
    <col min="3" max="3" width="17.33203125" style="1" customWidth="1"/>
    <col min="4" max="4" width="17.33203125" style="5" customWidth="1"/>
    <col min="5" max="5" width="18.83203125" style="1" bestFit="1" customWidth="1"/>
    <col min="6" max="6" width="17.33203125" style="1" customWidth="1"/>
    <col min="7" max="7" width="9.83203125" style="5" customWidth="1"/>
    <col min="8" max="8" width="12.33203125" style="5" bestFit="1" customWidth="1"/>
    <col min="9" max="9" width="10.1640625" style="5" bestFit="1" customWidth="1"/>
    <col min="10" max="10" width="10.1640625" style="1" bestFit="1" customWidth="1"/>
    <col min="11" max="11" width="11.5" style="1"/>
    <col min="12" max="12" width="12.6640625" style="1" bestFit="1" customWidth="1"/>
    <col min="13" max="16384" width="11.5" style="1"/>
  </cols>
  <sheetData>
    <row r="1" spans="1:9" x14ac:dyDescent="0.2">
      <c r="A1" s="9" t="s">
        <v>55</v>
      </c>
      <c r="C1" s="1">
        <f>+'producción ARG'!C7</f>
        <v>1400</v>
      </c>
    </row>
    <row r="2" spans="1:9" x14ac:dyDescent="0.2">
      <c r="A2" s="9" t="s">
        <v>56</v>
      </c>
      <c r="C2" s="1">
        <f>+'producción ARG'!C7</f>
        <v>1400</v>
      </c>
      <c r="D2" s="22"/>
      <c r="F2" s="22"/>
    </row>
    <row r="3" spans="1:9" x14ac:dyDescent="0.2">
      <c r="A3" s="9" t="s">
        <v>57</v>
      </c>
      <c r="C3" s="77">
        <v>1</v>
      </c>
      <c r="D3" s="22"/>
      <c r="F3" s="22">
        <v>1404</v>
      </c>
    </row>
    <row r="4" spans="1:9" ht="12" thickBot="1" x14ac:dyDescent="0.25">
      <c r="A4" s="9"/>
      <c r="D4" s="22"/>
      <c r="E4" s="22">
        <f>+'producción ARG'!C16</f>
        <v>3039</v>
      </c>
      <c r="F4" s="22" t="s">
        <v>70</v>
      </c>
    </row>
    <row r="5" spans="1:9" s="9" customFormat="1" x14ac:dyDescent="0.2">
      <c r="A5" s="28" t="s">
        <v>54</v>
      </c>
      <c r="B5" s="30"/>
      <c r="C5" s="78" t="s">
        <v>43</v>
      </c>
      <c r="D5" s="78" t="s">
        <v>43</v>
      </c>
      <c r="E5" s="79" t="s">
        <v>64</v>
      </c>
      <c r="F5" s="79" t="s">
        <v>51</v>
      </c>
    </row>
    <row r="6" spans="1:9" ht="12" thickBot="1" x14ac:dyDescent="0.25">
      <c r="A6" s="80" t="s">
        <v>7</v>
      </c>
      <c r="B6" s="81" t="s">
        <v>5</v>
      </c>
      <c r="C6" s="82" t="s">
        <v>64</v>
      </c>
      <c r="D6" s="82" t="s">
        <v>51</v>
      </c>
      <c r="E6" s="83">
        <v>2.5000000000000001E-2</v>
      </c>
      <c r="F6" s="83">
        <v>1.4999999999999999E-2</v>
      </c>
      <c r="G6" s="1"/>
      <c r="H6" s="1"/>
      <c r="I6" s="1"/>
    </row>
    <row r="7" spans="1:9" x14ac:dyDescent="0.2">
      <c r="A7" s="84" t="s">
        <v>8</v>
      </c>
      <c r="B7" s="85">
        <f>+'producción ARG'!C20</f>
        <v>44028</v>
      </c>
      <c r="C7" s="49">
        <v>142.81312500000001</v>
      </c>
      <c r="D7" s="49">
        <v>85.687875000000005</v>
      </c>
      <c r="E7" s="86">
        <f>+B7*C7/1000*$C$1</f>
        <v>8802886.7745000012</v>
      </c>
      <c r="F7" s="86">
        <f>+B7*D7/1000*$C$2</f>
        <v>5281732.0647000009</v>
      </c>
      <c r="G7" s="1"/>
      <c r="H7" s="1"/>
      <c r="I7" s="1"/>
    </row>
    <row r="8" spans="1:9" x14ac:dyDescent="0.2">
      <c r="A8" s="36" t="s">
        <v>9</v>
      </c>
      <c r="B8" s="85">
        <f>+'producción ARG'!C21</f>
        <v>10500</v>
      </c>
      <c r="C8" s="50">
        <v>124.385625</v>
      </c>
      <c r="D8" s="50">
        <v>74.631374999999991</v>
      </c>
      <c r="E8" s="48">
        <f t="shared" ref="E8:E16" si="0">+B8*C8/1000*$C$1</f>
        <v>1828468.6875</v>
      </c>
      <c r="F8" s="48">
        <f t="shared" ref="F8:F18" si="1">+B8*D8/1000*$C$2</f>
        <v>1097081.2124999999</v>
      </c>
      <c r="G8" s="1"/>
      <c r="H8" s="1"/>
      <c r="I8" s="1"/>
    </row>
    <row r="9" spans="1:9" x14ac:dyDescent="0.2">
      <c r="A9" s="36" t="s">
        <v>10</v>
      </c>
      <c r="B9" s="85">
        <f>+'producción ARG'!C22</f>
        <v>24</v>
      </c>
      <c r="C9" s="50">
        <v>105.95812500000001</v>
      </c>
      <c r="D9" s="50">
        <v>63.574874999999999</v>
      </c>
      <c r="E9" s="48">
        <f t="shared" si="0"/>
        <v>3560.1930000000007</v>
      </c>
      <c r="F9" s="48">
        <f t="shared" si="1"/>
        <v>2136.1158</v>
      </c>
      <c r="G9" s="3"/>
      <c r="H9" s="1"/>
      <c r="I9" s="1"/>
    </row>
    <row r="10" spans="1:9" x14ac:dyDescent="0.2">
      <c r="A10" s="36" t="s">
        <v>11</v>
      </c>
      <c r="B10" s="85">
        <f>+'producción ARG'!C23</f>
        <v>0</v>
      </c>
      <c r="C10" s="50">
        <v>96.744375000000005</v>
      </c>
      <c r="D10" s="50">
        <v>58.046625000000006</v>
      </c>
      <c r="E10" s="48">
        <f t="shared" si="0"/>
        <v>0</v>
      </c>
      <c r="F10" s="48">
        <f t="shared" si="1"/>
        <v>0</v>
      </c>
      <c r="G10" s="1"/>
      <c r="H10" s="1"/>
      <c r="I10" s="1"/>
    </row>
    <row r="11" spans="1:9" x14ac:dyDescent="0.2">
      <c r="A11" s="36" t="s">
        <v>12</v>
      </c>
      <c r="B11" s="85">
        <f>+'producción ARG'!C24</f>
        <v>0</v>
      </c>
      <c r="C11" s="50">
        <v>82.923749999999998</v>
      </c>
      <c r="D11" s="50">
        <v>49.754249999999999</v>
      </c>
      <c r="E11" s="48">
        <f t="shared" si="0"/>
        <v>0</v>
      </c>
      <c r="F11" s="48">
        <f t="shared" si="1"/>
        <v>0</v>
      </c>
      <c r="G11" s="1"/>
      <c r="H11" s="1"/>
      <c r="I11" s="1"/>
    </row>
    <row r="12" spans="1:9" x14ac:dyDescent="0.2">
      <c r="A12" s="36" t="s">
        <v>13</v>
      </c>
      <c r="B12" s="85">
        <f>+'producción ARG'!C25</f>
        <v>0</v>
      </c>
      <c r="C12" s="50">
        <v>82.923749999999998</v>
      </c>
      <c r="D12" s="50">
        <v>49.754249999999999</v>
      </c>
      <c r="E12" s="48">
        <f t="shared" si="0"/>
        <v>0</v>
      </c>
      <c r="F12" s="48">
        <f t="shared" si="1"/>
        <v>0</v>
      </c>
      <c r="G12" s="1"/>
      <c r="H12" s="1"/>
      <c r="I12" s="1"/>
    </row>
    <row r="13" spans="1:9" x14ac:dyDescent="0.2">
      <c r="A13" s="36" t="s">
        <v>14</v>
      </c>
      <c r="B13" s="85">
        <f>+'producción ARG'!C26</f>
        <v>2412</v>
      </c>
      <c r="C13" s="50">
        <v>142.81312500000001</v>
      </c>
      <c r="D13" s="50">
        <v>85.687875000000005</v>
      </c>
      <c r="E13" s="48">
        <f t="shared" si="0"/>
        <v>482251.36050000001</v>
      </c>
      <c r="F13" s="48">
        <f t="shared" si="1"/>
        <v>289350.81630000001</v>
      </c>
      <c r="G13" s="1"/>
      <c r="H13" s="1"/>
      <c r="I13" s="1"/>
    </row>
    <row r="14" spans="1:9" x14ac:dyDescent="0.2">
      <c r="A14" s="36" t="s">
        <v>15</v>
      </c>
      <c r="B14" s="85">
        <f>+'producción ARG'!C27</f>
        <v>0</v>
      </c>
      <c r="C14" s="50">
        <v>119.77875</v>
      </c>
      <c r="D14" s="50">
        <v>71.867249999999999</v>
      </c>
      <c r="E14" s="48">
        <f t="shared" si="0"/>
        <v>0</v>
      </c>
      <c r="F14" s="48">
        <f t="shared" si="1"/>
        <v>0</v>
      </c>
      <c r="G14" s="1"/>
      <c r="H14" s="1"/>
      <c r="I14" s="1"/>
    </row>
    <row r="15" spans="1:9" x14ac:dyDescent="0.2">
      <c r="A15" s="36" t="s">
        <v>16</v>
      </c>
      <c r="B15" s="85">
        <f>+'producción ARG'!C28</f>
        <v>0</v>
      </c>
      <c r="C15" s="50">
        <v>87.530625000000001</v>
      </c>
      <c r="D15" s="50">
        <v>52.518374999999999</v>
      </c>
      <c r="E15" s="48">
        <f t="shared" si="0"/>
        <v>0</v>
      </c>
      <c r="F15" s="48">
        <f t="shared" si="1"/>
        <v>0</v>
      </c>
      <c r="G15" s="1"/>
      <c r="H15" s="1"/>
      <c r="I15" s="1"/>
    </row>
    <row r="16" spans="1:9" x14ac:dyDescent="0.2">
      <c r="A16" s="36" t="s">
        <v>17</v>
      </c>
      <c r="B16" s="85">
        <f>+'producción ARG'!C29</f>
        <v>0</v>
      </c>
      <c r="C16" s="50">
        <v>82.923749999999998</v>
      </c>
      <c r="D16" s="50">
        <v>49.754249999999999</v>
      </c>
      <c r="E16" s="48">
        <f t="shared" si="0"/>
        <v>0</v>
      </c>
      <c r="F16" s="48">
        <f t="shared" si="1"/>
        <v>0</v>
      </c>
      <c r="G16" s="1"/>
      <c r="H16" s="1"/>
      <c r="I16" s="1"/>
    </row>
    <row r="17" spans="1:9" x14ac:dyDescent="0.2">
      <c r="A17" s="36" t="s">
        <v>58</v>
      </c>
      <c r="B17" s="38"/>
      <c r="C17" s="50"/>
      <c r="D17" s="50"/>
      <c r="E17" s="48">
        <f>+B19*C17/1000*C1</f>
        <v>0</v>
      </c>
      <c r="F17" s="48">
        <f t="shared" si="1"/>
        <v>0</v>
      </c>
      <c r="G17" s="1"/>
      <c r="H17" s="1"/>
      <c r="I17" s="1"/>
    </row>
    <row r="18" spans="1:9" ht="12" thickBot="1" x14ac:dyDescent="0.25">
      <c r="A18" s="87"/>
      <c r="B18" s="88"/>
      <c r="C18" s="89"/>
      <c r="D18" s="89"/>
      <c r="E18" s="90">
        <f t="shared" ref="E18" si="2">B18/1000*D18*$C$1*$C$3*E$6</f>
        <v>0</v>
      </c>
      <c r="F18" s="90">
        <f t="shared" si="1"/>
        <v>0</v>
      </c>
      <c r="G18" s="1"/>
      <c r="H18" s="1"/>
      <c r="I18" s="1"/>
    </row>
    <row r="19" spans="1:9" s="9" customFormat="1" ht="12" thickBot="1" x14ac:dyDescent="0.25">
      <c r="A19" s="91" t="s">
        <v>18</v>
      </c>
      <c r="B19" s="92">
        <f>SUM(B7:B18)</f>
        <v>56964</v>
      </c>
      <c r="C19" s="93"/>
      <c r="D19" s="93"/>
      <c r="E19" s="94">
        <f>SUM(E7:E18)</f>
        <v>11117167.015500002</v>
      </c>
      <c r="F19" s="94">
        <f>SUM(F7:F18)</f>
        <v>6670300.2093000002</v>
      </c>
    </row>
    <row r="20" spans="1:9" s="95" customFormat="1" x14ac:dyDescent="0.2">
      <c r="D20" s="96"/>
      <c r="E20" s="7">
        <v>2520000</v>
      </c>
      <c r="F20" s="7">
        <v>361401.51</v>
      </c>
      <c r="G20" s="7"/>
      <c r="H20" s="7"/>
      <c r="I20" s="7"/>
    </row>
    <row r="21" spans="1:9" s="95" customFormat="1" x14ac:dyDescent="0.2">
      <c r="E21" s="7"/>
      <c r="F21" s="7"/>
      <c r="G21" s="7"/>
      <c r="H21" s="7"/>
      <c r="I21" s="7"/>
    </row>
    <row r="22" spans="1:9" s="97" customFormat="1" x14ac:dyDescent="0.2">
      <c r="E22" s="64">
        <f>+E19-E20</f>
        <v>8597167.0155000016</v>
      </c>
      <c r="F22" s="64">
        <f>+F19-F20</f>
        <v>6308898.6993000004</v>
      </c>
      <c r="G22" s="98"/>
      <c r="H22" s="98"/>
      <c r="I22" s="98"/>
    </row>
    <row r="23" spans="1:9" s="97" customFormat="1" x14ac:dyDescent="0.2">
      <c r="D23" s="64"/>
      <c r="G23" s="98"/>
      <c r="H23" s="98"/>
      <c r="I23" s="98"/>
    </row>
    <row r="24" spans="1:9" x14ac:dyDescent="0.2">
      <c r="E24" s="9" t="s">
        <v>71</v>
      </c>
      <c r="F24" s="64">
        <f>+F19-'[1]producción ESP'!$D$19</f>
        <v>1673050.7839500001</v>
      </c>
    </row>
    <row r="25" spans="1:9" x14ac:dyDescent="0.2">
      <c r="E25" s="9" t="s">
        <v>72</v>
      </c>
      <c r="F25" s="64">
        <v>2520528.5199999996</v>
      </c>
    </row>
    <row r="26" spans="1:9" x14ac:dyDescent="0.2">
      <c r="E26" s="9"/>
      <c r="F26" s="64">
        <f>+F24+F25</f>
        <v>4193579.3039499996</v>
      </c>
    </row>
  </sheetData>
  <printOptions horizontalCentered="1"/>
  <pageMargins left="0.78740157480314965" right="0.78740157480314965" top="0.98425196850393704" bottom="0.98425196850393704" header="0" footer="0"/>
  <pageSetup paperSize="9" fitToHeight="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producción ARG</vt:lpstr>
      <vt:lpstr>producción ESP</vt:lpstr>
    </vt:vector>
  </TitlesOfParts>
  <Company>ARBUMASA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ATILIO MOSCA</dc:creator>
  <cp:lastModifiedBy>Ulises Sasovsky</cp:lastModifiedBy>
  <cp:lastPrinted>2021-04-30T12:55:20Z</cp:lastPrinted>
  <dcterms:created xsi:type="dcterms:W3CDTF">1999-01-29T19:50:19Z</dcterms:created>
  <dcterms:modified xsi:type="dcterms:W3CDTF">2026-07-08T19:55:29Z</dcterms:modified>
</cp:coreProperties>
</file>